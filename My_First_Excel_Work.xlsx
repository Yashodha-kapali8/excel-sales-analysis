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91831\Downloads\"/>
    </mc:Choice>
  </mc:AlternateContent>
  <xr:revisionPtr revIDLastSave="0" documentId="8_{1927BB24-67FE-41C2-A5EE-5BDC70797C50}" xr6:coauthVersionLast="47" xr6:coauthVersionMax="47" xr10:uidLastSave="{00000000-0000-0000-0000-000000000000}"/>
  <bookViews>
    <workbookView xWindow="-108" yWindow="-108" windowWidth="23256" windowHeight="12456" firstSheet="8" activeTab="10" xr2:uid="{26D4546B-D2A1-4444-8EAF-A6228F96F0C1}"/>
  </bookViews>
  <sheets>
    <sheet name="Data" sheetId="1" r:id="rId1"/>
    <sheet name="Quick_Statistic" sheetId="2" r:id="rId2"/>
    <sheet name="EDA" sheetId="3" r:id="rId3"/>
    <sheet name="with_formulas" sheetId="4" r:id="rId4"/>
    <sheet name="pivot" sheetId="5" r:id="rId5"/>
    <sheet name="top_5_Items" sheetId="7" r:id="rId6"/>
    <sheet name="Anomalies" sheetId="8" r:id="rId7"/>
    <sheet name="Best Sales person by country" sheetId="10" r:id="rId8"/>
    <sheet name="profit by products" sheetId="19" r:id="rId9"/>
    <sheet name="country_level_report" sheetId="16" r:id="rId10"/>
    <sheet name="open ended questions" sheetId="17" r:id="rId11"/>
  </sheets>
  <definedNames>
    <definedName name="_xlnm._FilterDatabase" localSheetId="0" hidden="1">Data!$C$11:$G$11</definedName>
    <definedName name="_xlnm._FilterDatabase" localSheetId="3" hidden="1">with_formulas!$M$7:$P$13</definedName>
    <definedName name="_xlchart.v1.0" hidden="1">Anomalies!$O$9:$O$308</definedName>
    <definedName name="_xlchart.v1.1" hidden="1">Anomalies!$Q$9:$Q$308</definedName>
    <definedName name="_xlchart.v1.2" hidden="1">Anomalies!$O$9:$O$308</definedName>
    <definedName name="_xlchart.v1.3" hidden="1">Anomalies!$Q$9:$Q$308</definedName>
    <definedName name="_xlchart.v1.4" hidden="1">Anomalies!$Q$9:$Q$308</definedName>
    <definedName name="_xlcn.WorksheetConnection_my_first_excel_work.xlsxdata11" hidden="1">data1[]</definedName>
    <definedName name="Slicer_Geography">#N/A</definedName>
    <definedName name="Slicer_Geography1">#N/A</definedName>
    <definedName name="Slicer_Sales_Person">#N/A</definedName>
  </definedNames>
  <calcPr calcId="191029"/>
  <pivotCaches>
    <pivotCache cacheId="44" r:id="rId12"/>
    <pivotCache cacheId="139" r:id="rId13"/>
    <pivotCache cacheId="177" r:id="rId14"/>
    <pivotCache cacheId="180" r:id="rId15"/>
  </pivotCaches>
  <extLst>
    <ext xmlns:x14="http://schemas.microsoft.com/office/spreadsheetml/2009/9/main" uri="{876F7934-8845-4945-9796-88D515C7AA90}">
      <x14:pivotCaches>
        <pivotCache cacheId="99"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1" name="data1" connection="WorksheetConnection_my_first_excel_work.xlsx!data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2" i="1" l="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H13" i="1"/>
  <c r="H14" i="1"/>
  <c r="H15" i="1"/>
  <c r="H16" i="1"/>
  <c r="H17" i="1"/>
  <c r="H18" i="1"/>
  <c r="H19" i="1"/>
  <c r="H20" i="1"/>
  <c r="H21" i="1"/>
  <c r="H12"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E15" i="16"/>
  <c r="F15" i="16"/>
  <c r="F16" i="16"/>
  <c r="E16" i="16"/>
  <c r="J12" i="16" a="1"/>
  <c r="J12" i="16" s="1"/>
  <c r="N12" i="16" s="1"/>
  <c r="G11" i="16"/>
  <c r="O9" i="4"/>
  <c r="O10" i="4"/>
  <c r="O11" i="4"/>
  <c r="O12" i="4"/>
  <c r="O13" i="4"/>
  <c r="O8" i="4"/>
  <c r="C8" i="4" a="1"/>
  <c r="C8" i="4" s="1"/>
  <c r="D8" i="4" s="1"/>
  <c r="Q22" i="2"/>
  <c r="H22" i="2" a="1"/>
  <c r="H22" i="2" s="1"/>
  <c r="E18" i="2"/>
  <c r="D18" i="2"/>
  <c r="E16" i="2"/>
  <c r="D16" i="2"/>
  <c r="E12" i="2"/>
  <c r="D12" i="2"/>
  <c r="E10" i="2"/>
  <c r="D10" i="2"/>
  <c r="E8" i="2"/>
  <c r="D8" i="2"/>
  <c r="E6" i="2"/>
  <c r="D6" i="2"/>
  <c r="L12" i="16" l="1"/>
  <c r="L18" i="16"/>
  <c r="O18" i="16" s="1"/>
  <c r="N18" i="16"/>
  <c r="N14" i="16"/>
  <c r="L13" i="16"/>
  <c r="O13" i="16" s="1"/>
  <c r="L20" i="16"/>
  <c r="O20" i="16" s="1"/>
  <c r="L16" i="16"/>
  <c r="O16" i="16" s="1"/>
  <c r="N21" i="16"/>
  <c r="N17" i="16"/>
  <c r="N13" i="16"/>
  <c r="L14" i="16"/>
  <c r="O14" i="16" s="1"/>
  <c r="N19" i="16"/>
  <c r="N15" i="16"/>
  <c r="O12" i="16"/>
  <c r="L21" i="16"/>
  <c r="O21" i="16" s="1"/>
  <c r="L17" i="16"/>
  <c r="O17" i="16" s="1"/>
  <c r="L19" i="16"/>
  <c r="O19" i="16" s="1"/>
  <c r="L15" i="16"/>
  <c r="O15" i="16" s="1"/>
  <c r="N20" i="16"/>
  <c r="N16" i="16"/>
  <c r="D14" i="2"/>
  <c r="E14" i="2"/>
  <c r="D10" i="4"/>
  <c r="D11" i="4"/>
  <c r="D12" i="4"/>
  <c r="D9" i="4"/>
  <c r="D13" i="4"/>
  <c r="E8" i="4"/>
  <c r="E10" i="4"/>
  <c r="E13" i="4"/>
  <c r="E9" i="4"/>
  <c r="E12" i="4"/>
  <c r="E1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CAB00F1-2560-45DF-8E5E-72EE0BD4122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33F5FE8-1523-4E0C-9A45-1495E0605F48}" name="WorksheetConnection_my_first_excel_work.xlsx!data1" type="102" refreshedVersion="8" minRefreshableVersion="5">
    <extLst>
      <ext xmlns:x15="http://schemas.microsoft.com/office/spreadsheetml/2010/11/main" uri="{DE250136-89BD-433C-8126-D09CA5730AF9}">
        <x15:connection id="data1" autoDelete="1">
          <x15:rangePr sourceName="_xlcn.WorksheetConnection_my_first_excel_work.xlsxdata1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<sst xmlns="http://schemas.openxmlformats.org/spreadsheetml/2006/main" count="2913" uniqueCount="102">
  <si>
    <t>Product</t>
  </si>
  <si>
    <t>Amount</t>
  </si>
  <si>
    <t>Barr Faughny</t>
  </si>
  <si>
    <t>Gunar Cockshoot</t>
  </si>
  <si>
    <t>Almond Choco</t>
  </si>
  <si>
    <t>Gigi Bohling</t>
  </si>
  <si>
    <t>Curtice Advani</t>
  </si>
  <si>
    <t>Ches Bonnell</t>
  </si>
  <si>
    <t>Brien Boise</t>
  </si>
  <si>
    <t>Husein Augar</t>
  </si>
  <si>
    <t>Oby Sorrel</t>
  </si>
  <si>
    <t>Sales Person</t>
  </si>
  <si>
    <t>Geography</t>
  </si>
  <si>
    <t>Milk Bars</t>
  </si>
  <si>
    <t>50% Dark Bites</t>
  </si>
  <si>
    <t>Raspberry Choco</t>
  </si>
  <si>
    <t>Mint Chip Choco</t>
  </si>
  <si>
    <t>Eclairs</t>
  </si>
  <si>
    <t>Drinking Coco</t>
  </si>
  <si>
    <t>99% Dark &amp; Pure</t>
  </si>
  <si>
    <t>Orange Choco</t>
  </si>
  <si>
    <t>Spicy Special Slims</t>
  </si>
  <si>
    <t>After Nines</t>
  </si>
  <si>
    <t>Fruit &amp; Nut Bars</t>
  </si>
  <si>
    <t>85% Dark Bars</t>
  </si>
  <si>
    <t>White Choc</t>
  </si>
  <si>
    <t>Baker's Choco Chips</t>
  </si>
  <si>
    <t>Organic Choco Syrup</t>
  </si>
  <si>
    <t>Caramel Stuffed Bars</t>
  </si>
  <si>
    <t>Manuka Honey Choco</t>
  </si>
  <si>
    <t>70% Dark Bites</t>
  </si>
  <si>
    <t>Smooth Sliky Salty</t>
  </si>
  <si>
    <t>Choco Coated Almonds</t>
  </si>
  <si>
    <t>Peanut Butter Cubes</t>
  </si>
  <si>
    <t>India</t>
  </si>
  <si>
    <t>USA</t>
  </si>
  <si>
    <t>Canada</t>
  </si>
  <si>
    <t>New Zealand</t>
  </si>
  <si>
    <t>Australia</t>
  </si>
  <si>
    <t>UK</t>
  </si>
  <si>
    <t>Ram Mahesh</t>
  </si>
  <si>
    <t>Carla Molina</t>
  </si>
  <si>
    <t>Questions</t>
  </si>
  <si>
    <t>Quick statistics</t>
  </si>
  <si>
    <t>Sales by country (with formulas)</t>
  </si>
  <si>
    <t>Sales by country (with pivots)</t>
  </si>
  <si>
    <t>Best Sales person by country</t>
  </si>
  <si>
    <t>Units</t>
  </si>
  <si>
    <t>Cost per unit</t>
  </si>
  <si>
    <t>Exploratory Data Analysis (EDA) with CF</t>
  </si>
  <si>
    <t>Top 5 products by $ per unit</t>
  </si>
  <si>
    <t>Are there any anomalies in the data?</t>
  </si>
  <si>
    <t>Average</t>
  </si>
  <si>
    <t>Median</t>
  </si>
  <si>
    <t xml:space="preserve"> </t>
  </si>
  <si>
    <t>Min</t>
  </si>
  <si>
    <t>Max</t>
  </si>
  <si>
    <t>Range</t>
  </si>
  <si>
    <t>units</t>
  </si>
  <si>
    <t>first Q</t>
  </si>
  <si>
    <t>third Q</t>
  </si>
  <si>
    <t>distinct number of products</t>
  </si>
  <si>
    <t>Distinct count of products</t>
  </si>
  <si>
    <t>2. Exploratory Data Analysis (EDA) with CF</t>
  </si>
  <si>
    <t>product=mint chip choco</t>
  </si>
  <si>
    <t>conclusion:</t>
  </si>
  <si>
    <t>3. Sales by country (with formulas)</t>
  </si>
  <si>
    <t>gigi bohling =3 times</t>
  </si>
  <si>
    <t>Country</t>
  </si>
  <si>
    <t>original with formula:</t>
  </si>
  <si>
    <t>sorted:</t>
  </si>
  <si>
    <t>4. Sales by country (with pivots)</t>
  </si>
  <si>
    <t>Row Labels</t>
  </si>
  <si>
    <t>Grand Total</t>
  </si>
  <si>
    <t>Sum of Amount</t>
  </si>
  <si>
    <t>Sum of Units</t>
  </si>
  <si>
    <t>5. Top 5 products by $ per unit</t>
  </si>
  <si>
    <t>sales per unit</t>
  </si>
  <si>
    <t>6. Are there any anomalies in the data?</t>
  </si>
  <si>
    <t>7. Best Sales person by country</t>
  </si>
  <si>
    <t>Amount vs Units</t>
  </si>
  <si>
    <t>Top 1 from different geography</t>
  </si>
  <si>
    <t>Bottom 1 from different geography</t>
  </si>
  <si>
    <t xml:space="preserve"> Excel Data Analysis</t>
  </si>
  <si>
    <t>countries</t>
  </si>
  <si>
    <t>Pick a country</t>
  </si>
  <si>
    <t>Quick summary</t>
  </si>
  <si>
    <t>Number of transactions</t>
  </si>
  <si>
    <t>Cost</t>
  </si>
  <si>
    <t>Quantity</t>
  </si>
  <si>
    <t>Total</t>
  </si>
  <si>
    <t>Sales</t>
  </si>
  <si>
    <t>By Sales Person</t>
  </si>
  <si>
    <t>8. Profits by Product</t>
  </si>
  <si>
    <t>Total Profit</t>
  </si>
  <si>
    <t>9. Dynamic country-level Sales Report</t>
  </si>
  <si>
    <t>10.Which products to discontinue?</t>
  </si>
  <si>
    <t>profit by product</t>
  </si>
  <si>
    <t>dynamic country level sales report</t>
  </si>
  <si>
    <t>open ended question</t>
  </si>
  <si>
    <t>Profit Percent</t>
  </si>
  <si>
    <t xml:space="preserve">Dataset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</si>
</sst>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5" formatCode="&quot;$&quot;#,##0_);\(&quot;$&quot;#,##0\)"/>
    <numFmt numFmtId="6" formatCode="&quot;$&quot;#,##0_);[Red]\(&quot;$&quot;#,##0\)"/>
    <numFmt numFmtId="8" formatCode="&quot;$&quot;#,##0.00_);[Red]\(&quot;$&quot;#,##0.00\)"/>
    <numFmt numFmtId="44" formatCode="_(&quot;$&quot;* #,##0.00_);_(&quot;$&quot;* \(#,##0.00\);_(&quot;$&quot;* &quot;-&quot;??_);_(@_)"/>
    <numFmt numFmtId="164" formatCode="&quot;$&quot;#,##0"/>
    <numFmt numFmtId="165" formatCode="\$#,##0.00;\(\$#,##0.00\);\$#,##0.00"/>
    <numFmt numFmtId="172" formatCode="&quot;$&quot;#,##0.00"/>
    <numFmt numFmtId="173" formatCode="\$#,##0;\(\$#,##0\);\$#,##0"/>
    <numFmt numFmtId="174" formatCode="0.0%;\-0.0%;0.0%"/>
  </numFmts>
  <fonts count="14" x14ac:knownFonts="1">
    <font>
      <sz val="11"/>
      <color theme="1"/>
      <name val="Calibri"/>
      <family val="2"/>
      <scheme val="minor"/>
    </font>
    <font>
      <sz val="28"/>
      <color theme="1"/>
      <name val="Segoe UI Light"/>
      <family val="2"/>
    </font>
    <font>
      <b/>
      <sz val="11"/>
      <color theme="1"/>
      <name val="Calibri"/>
      <family val="2"/>
      <scheme val="minor"/>
    </font>
    <font>
      <b/>
      <sz val="11"/>
      <color theme="0"/>
      <name val="Calibri"/>
      <family val="2"/>
      <scheme val="minor"/>
    </font>
    <font>
      <sz val="48"/>
      <color theme="1"/>
      <name val="Calibri"/>
      <family val="2"/>
      <scheme val="minor"/>
    </font>
    <font>
      <sz val="16"/>
      <color theme="1"/>
      <name val="Calibri"/>
      <family val="2"/>
      <scheme val="minor"/>
    </font>
    <font>
      <sz val="11"/>
      <color rgb="FF000000"/>
      <name val="Calibri"/>
      <family val="2"/>
      <scheme val="minor"/>
    </font>
    <font>
      <b/>
      <sz val="11"/>
      <color rgb="FF000000"/>
      <name val="Calibri"/>
      <family val="2"/>
      <scheme val="minor"/>
    </font>
    <font>
      <sz val="11"/>
      <color theme="1" tint="0.249977111117893"/>
      <name val="Calibri"/>
      <family val="2"/>
      <scheme val="minor"/>
    </font>
    <font>
      <sz val="11"/>
      <color theme="1"/>
      <name val="Calibri"/>
      <family val="2"/>
      <scheme val="minor"/>
    </font>
    <font>
      <sz val="8"/>
      <name val="Calibri"/>
      <family val="2"/>
      <scheme val="minor"/>
    </font>
    <font>
      <b/>
      <sz val="12"/>
      <color theme="1"/>
      <name val="Calibri"/>
      <family val="2"/>
      <scheme val="minor"/>
    </font>
    <font>
      <b/>
      <sz val="16"/>
      <color theme="1"/>
      <name val="Calibri"/>
      <family val="2"/>
      <scheme val="minor"/>
    </font>
    <font>
      <b/>
      <sz val="14"/>
      <color theme="1"/>
      <name val="Calibri"/>
      <family val="2"/>
      <scheme val="minor"/>
    </font>
  </fonts>
  <fills count="11">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4" tint="0.39997558519241921"/>
        <bgColor indexed="64"/>
      </patternFill>
    </fill>
    <fill>
      <patternFill patternType="solid">
        <fgColor rgb="FFD9E1F2"/>
        <bgColor rgb="FFD9E1F2"/>
      </patternFill>
    </fill>
    <fill>
      <patternFill patternType="solid">
        <fgColor theme="7" tint="0.39997558519241921"/>
        <bgColor indexed="64"/>
      </patternFill>
    </fill>
    <fill>
      <patternFill patternType="solid">
        <fgColor theme="7" tint="0.79998168889431442"/>
        <bgColor indexed="64"/>
      </patternFill>
    </fill>
    <fill>
      <patternFill patternType="solid">
        <fgColor rgb="FFE7E6E6"/>
        <bgColor rgb="FF000000"/>
      </patternFill>
    </fill>
    <fill>
      <patternFill patternType="solid">
        <fgColor theme="8" tint="-0.249977111117893"/>
        <bgColor indexed="64"/>
      </patternFill>
    </fill>
    <fill>
      <patternFill patternType="solid">
        <fgColor theme="8" tint="0.59999389629810485"/>
        <bgColor indexed="64"/>
      </patternFill>
    </fill>
  </fills>
  <borders count="7">
    <border>
      <left/>
      <right/>
      <top/>
      <bottom/>
      <diagonal/>
    </border>
    <border>
      <left/>
      <right/>
      <top style="dotted">
        <color theme="0" tint="-0.24994659260841701"/>
      </top>
      <bottom style="dotted">
        <color theme="0" tint="-0.24994659260841701"/>
      </bottom>
      <diagonal/>
    </border>
    <border>
      <left style="thin">
        <color theme="4" tint="0.39997558519241921"/>
      </left>
      <right/>
      <top style="thin">
        <color theme="4" tint="0.39997558519241921"/>
      </top>
      <bottom style="thin">
        <color theme="4" tint="0.39997558519241921"/>
      </bottom>
      <diagonal/>
    </border>
    <border>
      <left/>
      <right/>
      <top style="thin">
        <color theme="1" tint="0.34998626667073579"/>
      </top>
      <bottom style="thin">
        <color theme="1" tint="0.34998626667073579"/>
      </bottom>
      <diagonal/>
    </border>
    <border>
      <left/>
      <right/>
      <top style="thin">
        <color rgb="FF8EA9DB"/>
      </top>
      <bottom/>
      <diagonal/>
    </border>
    <border>
      <left/>
      <right/>
      <top style="dotted">
        <color rgb="FFBFBFBF"/>
      </top>
      <bottom style="dotted">
        <color rgb="FFBFBFBF"/>
      </bottom>
      <diagonal/>
    </border>
    <border>
      <left/>
      <right/>
      <top/>
      <bottom style="dotted">
        <color rgb="FFBFBFBF"/>
      </bottom>
      <diagonal/>
    </border>
  </borders>
  <cellStyleXfs count="2">
    <xf numFmtId="0" fontId="0" fillId="0" borderId="0"/>
    <xf numFmtId="44" fontId="9" fillId="0" borderId="0" applyFont="0" applyFill="0" applyBorder="0" applyAlignment="0" applyProtection="0"/>
  </cellStyleXfs>
  <cellXfs count="58">
    <xf numFmtId="0" fontId="0" fillId="0" borderId="0" xfId="0"/>
    <xf numFmtId="0" fontId="0" fillId="2" borderId="0" xfId="0" applyFill="1"/>
    <xf numFmtId="0" fontId="0" fillId="3" borderId="0" xfId="0" applyFill="1"/>
    <xf numFmtId="0" fontId="1" fillId="3" borderId="0" xfId="0" applyFont="1" applyFill="1" applyAlignment="1">
      <alignment vertical="center"/>
    </xf>
    <xf numFmtId="6" fontId="0" fillId="0" borderId="0" xfId="0" applyNumberFormat="1"/>
    <xf numFmtId="3" fontId="0" fillId="0" borderId="0" xfId="0" applyNumberFormat="1"/>
    <xf numFmtId="0" fontId="2" fillId="0" borderId="0" xfId="0" applyFont="1"/>
    <xf numFmtId="0" fontId="0" fillId="0" borderId="1" xfId="0" applyBorder="1"/>
    <xf numFmtId="8" fontId="0" fillId="0" borderId="0" xfId="0" applyNumberFormat="1"/>
    <xf numFmtId="0" fontId="4" fillId="0" borderId="0" xfId="0" applyFont="1"/>
    <xf numFmtId="0" fontId="5" fillId="0" borderId="0" xfId="0" applyFont="1"/>
    <xf numFmtId="0" fontId="6" fillId="0" borderId="0" xfId="0" applyFont="1"/>
    <xf numFmtId="0" fontId="2" fillId="0" borderId="0" xfId="0" applyFont="1" applyAlignment="1">
      <alignment horizontal="right"/>
    </xf>
    <xf numFmtId="164" fontId="0" fillId="0" borderId="0" xfId="0" applyNumberFormat="1"/>
    <xf numFmtId="0" fontId="6" fillId="0" borderId="3" xfId="0" applyFont="1" applyBorder="1"/>
    <xf numFmtId="164" fontId="6" fillId="0" borderId="3" xfId="0" applyNumberFormat="1" applyFont="1" applyBorder="1"/>
    <xf numFmtId="0" fontId="7" fillId="4" borderId="3" xfId="0" applyFont="1" applyFill="1" applyBorder="1"/>
    <xf numFmtId="0" fontId="7" fillId="4" borderId="3" xfId="0" applyFont="1" applyFill="1" applyBorder="1" applyAlignment="1">
      <alignment horizontal="right"/>
    </xf>
    <xf numFmtId="3" fontId="8" fillId="0" borderId="3" xfId="0" applyNumberFormat="1" applyFont="1" applyBorder="1"/>
    <xf numFmtId="0" fontId="0" fillId="0" borderId="0" xfId="0" pivotButton="1"/>
    <xf numFmtId="0" fontId="0" fillId="0" borderId="0" xfId="0" applyAlignment="1">
      <alignment horizontal="left"/>
    </xf>
    <xf numFmtId="165" fontId="0" fillId="0" borderId="0" xfId="0" applyNumberFormat="1"/>
    <xf numFmtId="0" fontId="3" fillId="0" borderId="2" xfId="0" applyFont="1" applyFill="1" applyBorder="1"/>
    <xf numFmtId="0" fontId="0" fillId="0" borderId="0" xfId="0" applyAlignment="1">
      <alignment horizontal="left" indent="1"/>
    </xf>
    <xf numFmtId="0" fontId="6" fillId="0" borderId="0" xfId="0" applyFont="1" applyAlignment="1">
      <alignment horizontal="left"/>
    </xf>
    <xf numFmtId="165" fontId="6" fillId="0" borderId="0" xfId="0" applyNumberFormat="1" applyFont="1"/>
    <xf numFmtId="0" fontId="7" fillId="5" borderId="4" xfId="0" applyFont="1" applyFill="1" applyBorder="1" applyAlignment="1">
      <alignment horizontal="left"/>
    </xf>
    <xf numFmtId="165" fontId="7" fillId="5" borderId="4" xfId="0" applyNumberFormat="1" applyFont="1" applyFill="1" applyBorder="1"/>
    <xf numFmtId="0" fontId="7" fillId="0" borderId="5" xfId="0" applyFont="1" applyBorder="1"/>
    <xf numFmtId="0" fontId="6" fillId="0" borderId="5" xfId="0" applyFont="1" applyBorder="1"/>
    <xf numFmtId="0" fontId="7" fillId="0" borderId="6" xfId="0" applyFont="1" applyBorder="1"/>
    <xf numFmtId="0" fontId="6" fillId="0" borderId="6" xfId="0" applyFont="1" applyBorder="1"/>
    <xf numFmtId="0" fontId="0" fillId="6" borderId="0" xfId="0" applyFill="1"/>
    <xf numFmtId="172" fontId="0" fillId="0" borderId="0" xfId="0" applyNumberFormat="1"/>
    <xf numFmtId="44" fontId="0" fillId="0" borderId="0" xfId="1" applyFont="1"/>
    <xf numFmtId="0" fontId="0" fillId="7" borderId="0" xfId="0" applyFill="1"/>
    <xf numFmtId="0" fontId="0" fillId="7" borderId="0" xfId="0" applyFill="1" applyAlignment="1">
      <alignment horizontal="right"/>
    </xf>
    <xf numFmtId="3" fontId="0" fillId="0" borderId="0" xfId="1" applyNumberFormat="1" applyFont="1" applyAlignment="1">
      <alignment horizontal="right"/>
    </xf>
    <xf numFmtId="3" fontId="0" fillId="0" borderId="0" xfId="1" applyNumberFormat="1" applyFont="1"/>
    <xf numFmtId="5" fontId="0" fillId="0" borderId="0" xfId="1" applyNumberFormat="1" applyFont="1"/>
    <xf numFmtId="5" fontId="0" fillId="0" borderId="0" xfId="1" applyNumberFormat="1" applyFont="1" applyAlignment="1">
      <alignment horizontal="right"/>
    </xf>
    <xf numFmtId="0" fontId="0" fillId="0" borderId="0" xfId="0" applyFill="1"/>
    <xf numFmtId="0" fontId="0" fillId="0" borderId="0" xfId="0" applyNumberFormat="1"/>
    <xf numFmtId="0" fontId="7" fillId="8" borderId="0" xfId="0" applyFont="1" applyFill="1"/>
    <xf numFmtId="0" fontId="6" fillId="8" borderId="0" xfId="0" applyFont="1" applyFill="1"/>
    <xf numFmtId="0" fontId="2" fillId="9" borderId="0" xfId="0" applyFont="1" applyFill="1"/>
    <xf numFmtId="0" fontId="0" fillId="10" borderId="0" xfId="0" applyFill="1"/>
    <xf numFmtId="0" fontId="0" fillId="0" borderId="1" xfId="0" applyFont="1" applyBorder="1"/>
    <xf numFmtId="0" fontId="2" fillId="2" borderId="0" xfId="0" applyFont="1" applyFill="1"/>
    <xf numFmtId="173" fontId="0" fillId="0" borderId="0" xfId="0" applyNumberFormat="1"/>
    <xf numFmtId="0" fontId="7" fillId="0" borderId="0" xfId="0" applyFont="1" applyFill="1" applyBorder="1"/>
    <xf numFmtId="0" fontId="6" fillId="0" borderId="0" xfId="0" applyFont="1" applyFill="1" applyBorder="1"/>
    <xf numFmtId="0" fontId="11" fillId="0" borderId="0" xfId="0" applyFont="1"/>
    <xf numFmtId="0" fontId="12" fillId="0" borderId="0" xfId="0" applyFont="1"/>
    <xf numFmtId="0" fontId="2" fillId="6" borderId="0" xfId="0" applyFont="1" applyFill="1"/>
    <xf numFmtId="0" fontId="13" fillId="6" borderId="0" xfId="0" applyFont="1" applyFill="1"/>
    <xf numFmtId="0" fontId="13" fillId="0" borderId="0" xfId="0" applyFont="1"/>
    <xf numFmtId="174" fontId="0" fillId="0" borderId="0" xfId="0" applyNumberFormat="1"/>
  </cellXfs>
  <cellStyles count="2">
    <cellStyle name="Currency" xfId="1" builtinId="4"/>
    <cellStyle name="Normal" xfId="0" builtinId="0"/>
  </cellStyles>
  <dxfs count="12">
    <dxf>
      <numFmt numFmtId="0" formatCode="General"/>
    </dxf>
    <dxf>
      <numFmt numFmtId="0" formatCode="General"/>
    </dxf>
    <dxf>
      <font>
        <color rgb="FF9C0006"/>
      </font>
      <fill>
        <patternFill>
          <bgColor rgb="FFFFC7CE"/>
        </patternFill>
      </fill>
    </dxf>
    <dxf>
      <numFmt numFmtId="10" formatCode="&quot;$&quot;#,##0_);[Red]\(&quot;$&quot;#,##0\)"/>
    </dxf>
    <dxf>
      <numFmt numFmtId="3" formatCode="#,##0"/>
    </dxf>
    <dxf>
      <numFmt numFmtId="10" formatCode="&quot;$&quot;#,##0_);[Red]\(&quot;$&quot;#,##0\)"/>
    </dxf>
    <dxf>
      <fill>
        <patternFill patternType="solid">
          <fgColor rgb="FF9C0006"/>
          <bgColor rgb="FFFFFFFF"/>
        </patternFill>
      </fill>
    </dxf>
    <dxf>
      <font>
        <b/>
        <i val="0"/>
        <strike val="0"/>
        <condense val="0"/>
        <extend val="0"/>
        <outline val="0"/>
        <shadow val="0"/>
        <u val="none"/>
        <vertAlign val="baseline"/>
        <sz val="11"/>
        <color theme="1"/>
        <name val="Calibri"/>
        <family val="2"/>
        <scheme val="minor"/>
      </font>
    </dxf>
    <dxf>
      <numFmt numFmtId="3" formatCode="#,##0"/>
    </dxf>
    <dxf>
      <numFmt numFmtId="10" formatCode="&quot;$&quot;#,##0_);[Red]\(&quot;$&quot;#,##0\)"/>
    </dxf>
    <dxf>
      <font>
        <b/>
        <i val="0"/>
        <strike val="0"/>
        <condense val="0"/>
        <extend val="0"/>
        <outline val="0"/>
        <shadow val="0"/>
        <u val="none"/>
        <vertAlign val="baseline"/>
        <sz val="11"/>
        <color theme="1"/>
        <name val="Calibri"/>
        <family val="2"/>
        <scheme val="minor"/>
      </font>
    </dxf>
    <dxf>
      <numFmt numFmtId="12" formatCode="&quot;$&quot;#,##0.00_);[Red]\(&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2.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1.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Anomalies!$Q$9:$Q$308</c:f>
              <c:numCache>
                <c:formatCode>"$"#,##0_);[Red]\("$"#,##0\)</c:formatCode>
                <c:ptCount val="300"/>
                <c:pt idx="0">
                  <c:v>5586</c:v>
                </c:pt>
                <c:pt idx="1">
                  <c:v>798</c:v>
                </c:pt>
                <c:pt idx="2">
                  <c:v>819</c:v>
                </c:pt>
                <c:pt idx="3">
                  <c:v>7777</c:v>
                </c:pt>
                <c:pt idx="4">
                  <c:v>8463</c:v>
                </c:pt>
                <c:pt idx="5">
                  <c:v>1785</c:v>
                </c:pt>
                <c:pt idx="6">
                  <c:v>6706</c:v>
                </c:pt>
                <c:pt idx="7">
                  <c:v>3556</c:v>
                </c:pt>
                <c:pt idx="8">
                  <c:v>8008</c:v>
                </c:pt>
                <c:pt idx="9">
                  <c:v>2275</c:v>
                </c:pt>
                <c:pt idx="10">
                  <c:v>8869</c:v>
                </c:pt>
                <c:pt idx="11">
                  <c:v>2100</c:v>
                </c:pt>
                <c:pt idx="12">
                  <c:v>1904</c:v>
                </c:pt>
                <c:pt idx="13">
                  <c:v>1302</c:v>
                </c:pt>
                <c:pt idx="14">
                  <c:v>3052</c:v>
                </c:pt>
                <c:pt idx="15">
                  <c:v>6853</c:v>
                </c:pt>
                <c:pt idx="16">
                  <c:v>1932</c:v>
                </c:pt>
                <c:pt idx="17">
                  <c:v>3402</c:v>
                </c:pt>
                <c:pt idx="18">
                  <c:v>938</c:v>
                </c:pt>
                <c:pt idx="19">
                  <c:v>2702</c:v>
                </c:pt>
                <c:pt idx="20">
                  <c:v>4480</c:v>
                </c:pt>
                <c:pt idx="21">
                  <c:v>4326</c:v>
                </c:pt>
                <c:pt idx="22">
                  <c:v>3339</c:v>
                </c:pt>
                <c:pt idx="23">
                  <c:v>2471</c:v>
                </c:pt>
                <c:pt idx="24">
                  <c:v>15610</c:v>
                </c:pt>
                <c:pt idx="25">
                  <c:v>4487</c:v>
                </c:pt>
                <c:pt idx="26">
                  <c:v>7308</c:v>
                </c:pt>
                <c:pt idx="27">
                  <c:v>4592</c:v>
                </c:pt>
                <c:pt idx="28">
                  <c:v>10129</c:v>
                </c:pt>
                <c:pt idx="29">
                  <c:v>3689</c:v>
                </c:pt>
                <c:pt idx="30">
                  <c:v>854</c:v>
                </c:pt>
                <c:pt idx="31">
                  <c:v>3920</c:v>
                </c:pt>
                <c:pt idx="32">
                  <c:v>3164</c:v>
                </c:pt>
                <c:pt idx="33">
                  <c:v>819</c:v>
                </c:pt>
                <c:pt idx="34">
                  <c:v>8841</c:v>
                </c:pt>
                <c:pt idx="35">
                  <c:v>6657</c:v>
                </c:pt>
                <c:pt idx="36">
                  <c:v>1589</c:v>
                </c:pt>
                <c:pt idx="37">
                  <c:v>4753</c:v>
                </c:pt>
                <c:pt idx="38">
                  <c:v>2870</c:v>
                </c:pt>
                <c:pt idx="39">
                  <c:v>5670</c:v>
                </c:pt>
                <c:pt idx="40">
                  <c:v>9632</c:v>
                </c:pt>
                <c:pt idx="41">
                  <c:v>5194</c:v>
                </c:pt>
                <c:pt idx="42">
                  <c:v>3507</c:v>
                </c:pt>
                <c:pt idx="43">
                  <c:v>245</c:v>
                </c:pt>
                <c:pt idx="44">
                  <c:v>1134</c:v>
                </c:pt>
                <c:pt idx="45">
                  <c:v>4858</c:v>
                </c:pt>
                <c:pt idx="46">
                  <c:v>3808</c:v>
                </c:pt>
                <c:pt idx="47">
                  <c:v>7259</c:v>
                </c:pt>
                <c:pt idx="48">
                  <c:v>6657</c:v>
                </c:pt>
                <c:pt idx="49">
                  <c:v>1085</c:v>
                </c:pt>
                <c:pt idx="50">
                  <c:v>1778</c:v>
                </c:pt>
                <c:pt idx="51">
                  <c:v>1071</c:v>
                </c:pt>
                <c:pt idx="52">
                  <c:v>2317</c:v>
                </c:pt>
                <c:pt idx="53">
                  <c:v>5677</c:v>
                </c:pt>
                <c:pt idx="54">
                  <c:v>2415</c:v>
                </c:pt>
                <c:pt idx="55">
                  <c:v>6755</c:v>
                </c:pt>
                <c:pt idx="56">
                  <c:v>5551</c:v>
                </c:pt>
                <c:pt idx="57">
                  <c:v>385</c:v>
                </c:pt>
                <c:pt idx="58">
                  <c:v>4753</c:v>
                </c:pt>
                <c:pt idx="59">
                  <c:v>4438</c:v>
                </c:pt>
                <c:pt idx="60">
                  <c:v>3094</c:v>
                </c:pt>
                <c:pt idx="61">
                  <c:v>2856</c:v>
                </c:pt>
                <c:pt idx="62">
                  <c:v>7833</c:v>
                </c:pt>
                <c:pt idx="63">
                  <c:v>4585</c:v>
                </c:pt>
                <c:pt idx="64">
                  <c:v>1526</c:v>
                </c:pt>
                <c:pt idx="65">
                  <c:v>6279</c:v>
                </c:pt>
                <c:pt idx="66">
                  <c:v>12348</c:v>
                </c:pt>
                <c:pt idx="67">
                  <c:v>2464</c:v>
                </c:pt>
                <c:pt idx="68">
                  <c:v>1701</c:v>
                </c:pt>
                <c:pt idx="69">
                  <c:v>10311</c:v>
                </c:pt>
                <c:pt idx="70">
                  <c:v>714</c:v>
                </c:pt>
                <c:pt idx="71">
                  <c:v>567</c:v>
                </c:pt>
                <c:pt idx="72">
                  <c:v>6608</c:v>
                </c:pt>
                <c:pt idx="73">
                  <c:v>3101</c:v>
                </c:pt>
                <c:pt idx="74">
                  <c:v>1274</c:v>
                </c:pt>
                <c:pt idx="75">
                  <c:v>2009</c:v>
                </c:pt>
                <c:pt idx="76">
                  <c:v>7455</c:v>
                </c:pt>
                <c:pt idx="77">
                  <c:v>7651</c:v>
                </c:pt>
                <c:pt idx="78">
                  <c:v>3752</c:v>
                </c:pt>
                <c:pt idx="79">
                  <c:v>8890</c:v>
                </c:pt>
                <c:pt idx="80">
                  <c:v>5012</c:v>
                </c:pt>
                <c:pt idx="81">
                  <c:v>9835</c:v>
                </c:pt>
                <c:pt idx="82">
                  <c:v>4242</c:v>
                </c:pt>
                <c:pt idx="83">
                  <c:v>259</c:v>
                </c:pt>
                <c:pt idx="84">
                  <c:v>11522</c:v>
                </c:pt>
                <c:pt idx="85">
                  <c:v>5355</c:v>
                </c:pt>
                <c:pt idx="86">
                  <c:v>2639</c:v>
                </c:pt>
                <c:pt idx="87">
                  <c:v>1771</c:v>
                </c:pt>
                <c:pt idx="88">
                  <c:v>98</c:v>
                </c:pt>
                <c:pt idx="89">
                  <c:v>13391</c:v>
                </c:pt>
                <c:pt idx="90">
                  <c:v>9926</c:v>
                </c:pt>
                <c:pt idx="91">
                  <c:v>7280</c:v>
                </c:pt>
                <c:pt idx="92">
                  <c:v>4424</c:v>
                </c:pt>
                <c:pt idx="93">
                  <c:v>966</c:v>
                </c:pt>
                <c:pt idx="94">
                  <c:v>1974</c:v>
                </c:pt>
                <c:pt idx="95">
                  <c:v>1890</c:v>
                </c:pt>
                <c:pt idx="96">
                  <c:v>861</c:v>
                </c:pt>
                <c:pt idx="97">
                  <c:v>1925</c:v>
                </c:pt>
                <c:pt idx="98">
                  <c:v>8862</c:v>
                </c:pt>
                <c:pt idx="99">
                  <c:v>4949</c:v>
                </c:pt>
                <c:pt idx="100">
                  <c:v>2954</c:v>
                </c:pt>
                <c:pt idx="101">
                  <c:v>938</c:v>
                </c:pt>
                <c:pt idx="102">
                  <c:v>2114</c:v>
                </c:pt>
                <c:pt idx="103">
                  <c:v>7021</c:v>
                </c:pt>
                <c:pt idx="104">
                  <c:v>6580</c:v>
                </c:pt>
                <c:pt idx="105">
                  <c:v>3864</c:v>
                </c:pt>
                <c:pt idx="106">
                  <c:v>2646</c:v>
                </c:pt>
                <c:pt idx="107">
                  <c:v>2324</c:v>
                </c:pt>
                <c:pt idx="108">
                  <c:v>7847</c:v>
                </c:pt>
                <c:pt idx="109">
                  <c:v>6118</c:v>
                </c:pt>
                <c:pt idx="110">
                  <c:v>4725</c:v>
                </c:pt>
                <c:pt idx="111">
                  <c:v>707</c:v>
                </c:pt>
                <c:pt idx="112">
                  <c:v>4956</c:v>
                </c:pt>
                <c:pt idx="113">
                  <c:v>4018</c:v>
                </c:pt>
                <c:pt idx="114">
                  <c:v>5474</c:v>
                </c:pt>
                <c:pt idx="115">
                  <c:v>2023</c:v>
                </c:pt>
                <c:pt idx="116">
                  <c:v>21</c:v>
                </c:pt>
                <c:pt idx="117">
                  <c:v>3773</c:v>
                </c:pt>
                <c:pt idx="118">
                  <c:v>9443</c:v>
                </c:pt>
                <c:pt idx="119">
                  <c:v>4018</c:v>
                </c:pt>
                <c:pt idx="120">
                  <c:v>973</c:v>
                </c:pt>
                <c:pt idx="121">
                  <c:v>3794</c:v>
                </c:pt>
                <c:pt idx="122">
                  <c:v>98</c:v>
                </c:pt>
                <c:pt idx="123">
                  <c:v>5019</c:v>
                </c:pt>
                <c:pt idx="124">
                  <c:v>4970</c:v>
                </c:pt>
                <c:pt idx="125">
                  <c:v>4305</c:v>
                </c:pt>
                <c:pt idx="126">
                  <c:v>4417</c:v>
                </c:pt>
                <c:pt idx="127">
                  <c:v>14329</c:v>
                </c:pt>
                <c:pt idx="128">
                  <c:v>5019</c:v>
                </c:pt>
                <c:pt idx="129">
                  <c:v>3759</c:v>
                </c:pt>
                <c:pt idx="130">
                  <c:v>42</c:v>
                </c:pt>
                <c:pt idx="131">
                  <c:v>959</c:v>
                </c:pt>
                <c:pt idx="132">
                  <c:v>6027</c:v>
                </c:pt>
                <c:pt idx="133">
                  <c:v>3983</c:v>
                </c:pt>
                <c:pt idx="134">
                  <c:v>2429</c:v>
                </c:pt>
                <c:pt idx="135">
                  <c:v>336</c:v>
                </c:pt>
                <c:pt idx="136">
                  <c:v>2205</c:v>
                </c:pt>
                <c:pt idx="137">
                  <c:v>1568</c:v>
                </c:pt>
                <c:pt idx="138">
                  <c:v>11571</c:v>
                </c:pt>
                <c:pt idx="139">
                  <c:v>2205</c:v>
                </c:pt>
                <c:pt idx="140">
                  <c:v>2289</c:v>
                </c:pt>
                <c:pt idx="141">
                  <c:v>1400</c:v>
                </c:pt>
                <c:pt idx="142">
                  <c:v>959</c:v>
                </c:pt>
                <c:pt idx="143">
                  <c:v>0</c:v>
                </c:pt>
                <c:pt idx="144">
                  <c:v>847</c:v>
                </c:pt>
                <c:pt idx="145">
                  <c:v>6860</c:v>
                </c:pt>
                <c:pt idx="146">
                  <c:v>4935</c:v>
                </c:pt>
                <c:pt idx="147">
                  <c:v>4018</c:v>
                </c:pt>
                <c:pt idx="148">
                  <c:v>1617</c:v>
                </c:pt>
                <c:pt idx="149">
                  <c:v>357</c:v>
                </c:pt>
                <c:pt idx="150">
                  <c:v>6734</c:v>
                </c:pt>
                <c:pt idx="151">
                  <c:v>4781</c:v>
                </c:pt>
                <c:pt idx="152">
                  <c:v>3388</c:v>
                </c:pt>
                <c:pt idx="153">
                  <c:v>2317</c:v>
                </c:pt>
                <c:pt idx="154">
                  <c:v>63</c:v>
                </c:pt>
                <c:pt idx="155">
                  <c:v>10073</c:v>
                </c:pt>
                <c:pt idx="156">
                  <c:v>7511</c:v>
                </c:pt>
                <c:pt idx="157">
                  <c:v>2646</c:v>
                </c:pt>
                <c:pt idx="158">
                  <c:v>2212</c:v>
                </c:pt>
                <c:pt idx="159">
                  <c:v>2149</c:v>
                </c:pt>
                <c:pt idx="160">
                  <c:v>2016</c:v>
                </c:pt>
                <c:pt idx="161">
                  <c:v>2793</c:v>
                </c:pt>
                <c:pt idx="162">
                  <c:v>2142</c:v>
                </c:pt>
                <c:pt idx="163">
                  <c:v>1624</c:v>
                </c:pt>
                <c:pt idx="164">
                  <c:v>4487</c:v>
                </c:pt>
                <c:pt idx="165">
                  <c:v>1526</c:v>
                </c:pt>
                <c:pt idx="166">
                  <c:v>6398</c:v>
                </c:pt>
                <c:pt idx="167">
                  <c:v>6125</c:v>
                </c:pt>
                <c:pt idx="168">
                  <c:v>3850</c:v>
                </c:pt>
                <c:pt idx="169">
                  <c:v>2891</c:v>
                </c:pt>
                <c:pt idx="170">
                  <c:v>1652</c:v>
                </c:pt>
                <c:pt idx="171">
                  <c:v>1505</c:v>
                </c:pt>
                <c:pt idx="172">
                  <c:v>2436</c:v>
                </c:pt>
                <c:pt idx="173">
                  <c:v>609</c:v>
                </c:pt>
                <c:pt idx="174">
                  <c:v>7273</c:v>
                </c:pt>
                <c:pt idx="175">
                  <c:v>3472</c:v>
                </c:pt>
                <c:pt idx="176">
                  <c:v>1568</c:v>
                </c:pt>
                <c:pt idx="177">
                  <c:v>6132</c:v>
                </c:pt>
                <c:pt idx="178">
                  <c:v>2919</c:v>
                </c:pt>
                <c:pt idx="179">
                  <c:v>2737</c:v>
                </c:pt>
                <c:pt idx="180">
                  <c:v>1652</c:v>
                </c:pt>
                <c:pt idx="181">
                  <c:v>1428</c:v>
                </c:pt>
                <c:pt idx="182">
                  <c:v>9772</c:v>
                </c:pt>
                <c:pt idx="183">
                  <c:v>8155</c:v>
                </c:pt>
                <c:pt idx="184">
                  <c:v>2541</c:v>
                </c:pt>
                <c:pt idx="185">
                  <c:v>9506</c:v>
                </c:pt>
                <c:pt idx="186">
                  <c:v>7693</c:v>
                </c:pt>
                <c:pt idx="187">
                  <c:v>700</c:v>
                </c:pt>
                <c:pt idx="188">
                  <c:v>609</c:v>
                </c:pt>
                <c:pt idx="189">
                  <c:v>434</c:v>
                </c:pt>
                <c:pt idx="190">
                  <c:v>280</c:v>
                </c:pt>
                <c:pt idx="191">
                  <c:v>10304</c:v>
                </c:pt>
                <c:pt idx="192">
                  <c:v>490</c:v>
                </c:pt>
                <c:pt idx="193">
                  <c:v>168</c:v>
                </c:pt>
                <c:pt idx="194">
                  <c:v>7812</c:v>
                </c:pt>
                <c:pt idx="195">
                  <c:v>6909</c:v>
                </c:pt>
                <c:pt idx="196">
                  <c:v>3598</c:v>
                </c:pt>
                <c:pt idx="197">
                  <c:v>560</c:v>
                </c:pt>
                <c:pt idx="198">
                  <c:v>6433</c:v>
                </c:pt>
                <c:pt idx="199">
                  <c:v>2023</c:v>
                </c:pt>
                <c:pt idx="200">
                  <c:v>8211</c:v>
                </c:pt>
                <c:pt idx="201">
                  <c:v>3339</c:v>
                </c:pt>
                <c:pt idx="202">
                  <c:v>3262</c:v>
                </c:pt>
                <c:pt idx="203">
                  <c:v>2779</c:v>
                </c:pt>
                <c:pt idx="204">
                  <c:v>2219</c:v>
                </c:pt>
                <c:pt idx="205">
                  <c:v>1281</c:v>
                </c:pt>
                <c:pt idx="206">
                  <c:v>945</c:v>
                </c:pt>
                <c:pt idx="207">
                  <c:v>518</c:v>
                </c:pt>
                <c:pt idx="208">
                  <c:v>469</c:v>
                </c:pt>
                <c:pt idx="209">
                  <c:v>9002</c:v>
                </c:pt>
                <c:pt idx="210">
                  <c:v>3976</c:v>
                </c:pt>
                <c:pt idx="211">
                  <c:v>3192</c:v>
                </c:pt>
                <c:pt idx="212">
                  <c:v>1407</c:v>
                </c:pt>
                <c:pt idx="213">
                  <c:v>4760</c:v>
                </c:pt>
                <c:pt idx="214">
                  <c:v>2114</c:v>
                </c:pt>
                <c:pt idx="215">
                  <c:v>6146</c:v>
                </c:pt>
                <c:pt idx="216">
                  <c:v>4606</c:v>
                </c:pt>
                <c:pt idx="217">
                  <c:v>2268</c:v>
                </c:pt>
                <c:pt idx="218">
                  <c:v>1638</c:v>
                </c:pt>
                <c:pt idx="219">
                  <c:v>497</c:v>
                </c:pt>
                <c:pt idx="220">
                  <c:v>4137</c:v>
                </c:pt>
                <c:pt idx="221">
                  <c:v>9051</c:v>
                </c:pt>
                <c:pt idx="222">
                  <c:v>7189</c:v>
                </c:pt>
                <c:pt idx="223">
                  <c:v>6454</c:v>
                </c:pt>
                <c:pt idx="224">
                  <c:v>3108</c:v>
                </c:pt>
                <c:pt idx="225">
                  <c:v>2681</c:v>
                </c:pt>
                <c:pt idx="226">
                  <c:v>1057</c:v>
                </c:pt>
                <c:pt idx="227">
                  <c:v>252</c:v>
                </c:pt>
                <c:pt idx="228">
                  <c:v>5236</c:v>
                </c:pt>
                <c:pt idx="229">
                  <c:v>3640</c:v>
                </c:pt>
                <c:pt idx="230">
                  <c:v>623</c:v>
                </c:pt>
                <c:pt idx="231">
                  <c:v>56</c:v>
                </c:pt>
                <c:pt idx="232">
                  <c:v>6748</c:v>
                </c:pt>
                <c:pt idx="233">
                  <c:v>6391</c:v>
                </c:pt>
                <c:pt idx="234">
                  <c:v>2226</c:v>
                </c:pt>
                <c:pt idx="235">
                  <c:v>1638</c:v>
                </c:pt>
                <c:pt idx="236">
                  <c:v>525</c:v>
                </c:pt>
                <c:pt idx="237">
                  <c:v>189</c:v>
                </c:pt>
                <c:pt idx="238">
                  <c:v>182</c:v>
                </c:pt>
                <c:pt idx="239">
                  <c:v>7483</c:v>
                </c:pt>
                <c:pt idx="240">
                  <c:v>6279</c:v>
                </c:pt>
                <c:pt idx="241">
                  <c:v>2919</c:v>
                </c:pt>
                <c:pt idx="242">
                  <c:v>2541</c:v>
                </c:pt>
                <c:pt idx="243">
                  <c:v>8435</c:v>
                </c:pt>
                <c:pt idx="244">
                  <c:v>6300</c:v>
                </c:pt>
                <c:pt idx="245">
                  <c:v>5775</c:v>
                </c:pt>
                <c:pt idx="246">
                  <c:v>2863</c:v>
                </c:pt>
                <c:pt idx="247">
                  <c:v>16184</c:v>
                </c:pt>
                <c:pt idx="248">
                  <c:v>7777</c:v>
                </c:pt>
                <c:pt idx="249">
                  <c:v>3339</c:v>
                </c:pt>
                <c:pt idx="250">
                  <c:v>1988</c:v>
                </c:pt>
                <c:pt idx="251">
                  <c:v>1463</c:v>
                </c:pt>
                <c:pt idx="252">
                  <c:v>9198</c:v>
                </c:pt>
                <c:pt idx="253">
                  <c:v>7322</c:v>
                </c:pt>
                <c:pt idx="254">
                  <c:v>4802</c:v>
                </c:pt>
                <c:pt idx="255">
                  <c:v>630</c:v>
                </c:pt>
                <c:pt idx="256">
                  <c:v>217</c:v>
                </c:pt>
                <c:pt idx="257">
                  <c:v>12950</c:v>
                </c:pt>
                <c:pt idx="258">
                  <c:v>9709</c:v>
                </c:pt>
                <c:pt idx="259">
                  <c:v>6370</c:v>
                </c:pt>
                <c:pt idx="260">
                  <c:v>5439</c:v>
                </c:pt>
                <c:pt idx="261">
                  <c:v>4683</c:v>
                </c:pt>
                <c:pt idx="262">
                  <c:v>4319</c:v>
                </c:pt>
                <c:pt idx="263">
                  <c:v>9660</c:v>
                </c:pt>
                <c:pt idx="264">
                  <c:v>6832</c:v>
                </c:pt>
                <c:pt idx="265">
                  <c:v>6048</c:v>
                </c:pt>
                <c:pt idx="266">
                  <c:v>3059</c:v>
                </c:pt>
                <c:pt idx="267">
                  <c:v>2135</c:v>
                </c:pt>
                <c:pt idx="268">
                  <c:v>1561</c:v>
                </c:pt>
                <c:pt idx="269">
                  <c:v>4053</c:v>
                </c:pt>
                <c:pt idx="270">
                  <c:v>3829</c:v>
                </c:pt>
                <c:pt idx="271">
                  <c:v>11417</c:v>
                </c:pt>
                <c:pt idx="272">
                  <c:v>8813</c:v>
                </c:pt>
                <c:pt idx="273">
                  <c:v>7693</c:v>
                </c:pt>
                <c:pt idx="274">
                  <c:v>6986</c:v>
                </c:pt>
                <c:pt idx="275">
                  <c:v>5075</c:v>
                </c:pt>
                <c:pt idx="276">
                  <c:v>2478</c:v>
                </c:pt>
                <c:pt idx="277">
                  <c:v>154</c:v>
                </c:pt>
                <c:pt idx="278">
                  <c:v>2583</c:v>
                </c:pt>
                <c:pt idx="279">
                  <c:v>1281</c:v>
                </c:pt>
                <c:pt idx="280">
                  <c:v>238</c:v>
                </c:pt>
                <c:pt idx="281">
                  <c:v>6314</c:v>
                </c:pt>
                <c:pt idx="282">
                  <c:v>2415</c:v>
                </c:pt>
                <c:pt idx="283">
                  <c:v>1442</c:v>
                </c:pt>
                <c:pt idx="284">
                  <c:v>553</c:v>
                </c:pt>
                <c:pt idx="285">
                  <c:v>5817</c:v>
                </c:pt>
                <c:pt idx="286">
                  <c:v>4991</c:v>
                </c:pt>
                <c:pt idx="287">
                  <c:v>6118</c:v>
                </c:pt>
                <c:pt idx="288">
                  <c:v>4991</c:v>
                </c:pt>
                <c:pt idx="289">
                  <c:v>2933</c:v>
                </c:pt>
                <c:pt idx="290">
                  <c:v>2744</c:v>
                </c:pt>
                <c:pt idx="291">
                  <c:v>2408</c:v>
                </c:pt>
                <c:pt idx="292">
                  <c:v>6818</c:v>
                </c:pt>
                <c:pt idx="293">
                  <c:v>2562</c:v>
                </c:pt>
                <c:pt idx="294">
                  <c:v>938</c:v>
                </c:pt>
                <c:pt idx="295">
                  <c:v>6111</c:v>
                </c:pt>
                <c:pt idx="296">
                  <c:v>5915</c:v>
                </c:pt>
                <c:pt idx="297">
                  <c:v>3549</c:v>
                </c:pt>
                <c:pt idx="298">
                  <c:v>2989</c:v>
                </c:pt>
                <c:pt idx="299">
                  <c:v>5306</c:v>
                </c:pt>
              </c:numCache>
            </c:numRef>
          </c:xVal>
          <c:yVal>
            <c:numRef>
              <c:f>Anomalies!$R$9:$R$308</c:f>
              <c:numCache>
                <c:formatCode>General</c:formatCode>
                <c:ptCount val="300"/>
                <c:pt idx="0">
                  <c:v>525</c:v>
                </c:pt>
                <c:pt idx="1">
                  <c:v>519</c:v>
                </c:pt>
                <c:pt idx="2">
                  <c:v>510</c:v>
                </c:pt>
                <c:pt idx="3">
                  <c:v>504</c:v>
                </c:pt>
                <c:pt idx="4">
                  <c:v>492</c:v>
                </c:pt>
                <c:pt idx="5">
                  <c:v>462</c:v>
                </c:pt>
                <c:pt idx="6">
                  <c:v>459</c:v>
                </c:pt>
                <c:pt idx="7">
                  <c:v>459</c:v>
                </c:pt>
                <c:pt idx="8">
                  <c:v>456</c:v>
                </c:pt>
                <c:pt idx="9">
                  <c:v>447</c:v>
                </c:pt>
                <c:pt idx="10">
                  <c:v>432</c:v>
                </c:pt>
                <c:pt idx="11">
                  <c:v>414</c:v>
                </c:pt>
                <c:pt idx="12">
                  <c:v>405</c:v>
                </c:pt>
                <c:pt idx="13">
                  <c:v>402</c:v>
                </c:pt>
                <c:pt idx="14">
                  <c:v>378</c:v>
                </c:pt>
                <c:pt idx="15">
                  <c:v>372</c:v>
                </c:pt>
                <c:pt idx="16">
                  <c:v>369</c:v>
                </c:pt>
                <c:pt idx="17">
                  <c:v>366</c:v>
                </c:pt>
                <c:pt idx="18">
                  <c:v>366</c:v>
                </c:pt>
                <c:pt idx="19">
                  <c:v>363</c:v>
                </c:pt>
                <c:pt idx="20">
                  <c:v>357</c:v>
                </c:pt>
                <c:pt idx="21">
                  <c:v>348</c:v>
                </c:pt>
                <c:pt idx="22">
                  <c:v>348</c:v>
                </c:pt>
                <c:pt idx="23">
                  <c:v>342</c:v>
                </c:pt>
                <c:pt idx="24">
                  <c:v>339</c:v>
                </c:pt>
                <c:pt idx="25">
                  <c:v>333</c:v>
                </c:pt>
                <c:pt idx="26">
                  <c:v>327</c:v>
                </c:pt>
                <c:pt idx="27">
                  <c:v>324</c:v>
                </c:pt>
                <c:pt idx="28">
                  <c:v>312</c:v>
                </c:pt>
                <c:pt idx="29">
                  <c:v>312</c:v>
                </c:pt>
                <c:pt idx="30">
                  <c:v>309</c:v>
                </c:pt>
                <c:pt idx="31">
                  <c:v>306</c:v>
                </c:pt>
                <c:pt idx="32">
                  <c:v>306</c:v>
                </c:pt>
                <c:pt idx="33">
                  <c:v>306</c:v>
                </c:pt>
                <c:pt idx="34">
                  <c:v>303</c:v>
                </c:pt>
                <c:pt idx="35">
                  <c:v>303</c:v>
                </c:pt>
                <c:pt idx="36">
                  <c:v>303</c:v>
                </c:pt>
                <c:pt idx="37">
                  <c:v>300</c:v>
                </c:pt>
                <c:pt idx="38">
                  <c:v>300</c:v>
                </c:pt>
                <c:pt idx="39">
                  <c:v>297</c:v>
                </c:pt>
                <c:pt idx="40">
                  <c:v>288</c:v>
                </c:pt>
                <c:pt idx="41">
                  <c:v>288</c:v>
                </c:pt>
                <c:pt idx="42">
                  <c:v>288</c:v>
                </c:pt>
                <c:pt idx="43">
                  <c:v>288</c:v>
                </c:pt>
                <c:pt idx="44">
                  <c:v>282</c:v>
                </c:pt>
                <c:pt idx="45">
                  <c:v>279</c:v>
                </c:pt>
                <c:pt idx="46">
                  <c:v>279</c:v>
                </c:pt>
                <c:pt idx="47">
                  <c:v>276</c:v>
                </c:pt>
                <c:pt idx="48">
                  <c:v>276</c:v>
                </c:pt>
                <c:pt idx="49">
                  <c:v>273</c:v>
                </c:pt>
                <c:pt idx="50">
                  <c:v>270</c:v>
                </c:pt>
                <c:pt idx="51">
                  <c:v>270</c:v>
                </c:pt>
                <c:pt idx="52">
                  <c:v>261</c:v>
                </c:pt>
                <c:pt idx="53">
                  <c:v>258</c:v>
                </c:pt>
                <c:pt idx="54">
                  <c:v>255</c:v>
                </c:pt>
                <c:pt idx="55">
                  <c:v>252</c:v>
                </c:pt>
                <c:pt idx="56">
                  <c:v>252</c:v>
                </c:pt>
                <c:pt idx="57">
                  <c:v>249</c:v>
                </c:pt>
                <c:pt idx="58">
                  <c:v>246</c:v>
                </c:pt>
                <c:pt idx="59">
                  <c:v>246</c:v>
                </c:pt>
                <c:pt idx="60">
                  <c:v>246</c:v>
                </c:pt>
                <c:pt idx="61">
                  <c:v>246</c:v>
                </c:pt>
                <c:pt idx="62">
                  <c:v>243</c:v>
                </c:pt>
                <c:pt idx="63">
                  <c:v>240</c:v>
                </c:pt>
                <c:pt idx="64">
                  <c:v>240</c:v>
                </c:pt>
                <c:pt idx="65">
                  <c:v>237</c:v>
                </c:pt>
                <c:pt idx="66">
                  <c:v>234</c:v>
                </c:pt>
                <c:pt idx="67">
                  <c:v>234</c:v>
                </c:pt>
                <c:pt idx="68">
                  <c:v>234</c:v>
                </c:pt>
                <c:pt idx="69">
                  <c:v>231</c:v>
                </c:pt>
                <c:pt idx="70">
                  <c:v>231</c:v>
                </c:pt>
                <c:pt idx="71">
                  <c:v>228</c:v>
                </c:pt>
                <c:pt idx="72">
                  <c:v>225</c:v>
                </c:pt>
                <c:pt idx="73">
                  <c:v>225</c:v>
                </c:pt>
                <c:pt idx="74">
                  <c:v>225</c:v>
                </c:pt>
                <c:pt idx="75">
                  <c:v>219</c:v>
                </c:pt>
                <c:pt idx="76">
                  <c:v>216</c:v>
                </c:pt>
                <c:pt idx="77">
                  <c:v>213</c:v>
                </c:pt>
                <c:pt idx="78">
                  <c:v>213</c:v>
                </c:pt>
                <c:pt idx="79">
                  <c:v>210</c:v>
                </c:pt>
                <c:pt idx="80">
                  <c:v>210</c:v>
                </c:pt>
                <c:pt idx="81">
                  <c:v>207</c:v>
                </c:pt>
                <c:pt idx="82">
                  <c:v>207</c:v>
                </c:pt>
                <c:pt idx="83">
                  <c:v>207</c:v>
                </c:pt>
                <c:pt idx="84">
                  <c:v>204</c:v>
                </c:pt>
                <c:pt idx="85">
                  <c:v>204</c:v>
                </c:pt>
                <c:pt idx="86">
                  <c:v>204</c:v>
                </c:pt>
                <c:pt idx="87">
                  <c:v>204</c:v>
                </c:pt>
                <c:pt idx="88">
                  <c:v>204</c:v>
                </c:pt>
                <c:pt idx="89">
                  <c:v>201</c:v>
                </c:pt>
                <c:pt idx="90">
                  <c:v>201</c:v>
                </c:pt>
                <c:pt idx="91">
                  <c:v>201</c:v>
                </c:pt>
                <c:pt idx="92">
                  <c:v>201</c:v>
                </c:pt>
                <c:pt idx="93">
                  <c:v>198</c:v>
                </c:pt>
                <c:pt idx="94">
                  <c:v>195</c:v>
                </c:pt>
                <c:pt idx="95">
                  <c:v>195</c:v>
                </c:pt>
                <c:pt idx="96">
                  <c:v>195</c:v>
                </c:pt>
                <c:pt idx="97">
                  <c:v>192</c:v>
                </c:pt>
                <c:pt idx="98">
                  <c:v>189</c:v>
                </c:pt>
                <c:pt idx="99">
                  <c:v>189</c:v>
                </c:pt>
                <c:pt idx="100">
                  <c:v>189</c:v>
                </c:pt>
                <c:pt idx="101">
                  <c:v>189</c:v>
                </c:pt>
                <c:pt idx="102">
                  <c:v>186</c:v>
                </c:pt>
                <c:pt idx="103">
                  <c:v>183</c:v>
                </c:pt>
                <c:pt idx="104">
                  <c:v>183</c:v>
                </c:pt>
                <c:pt idx="105">
                  <c:v>177</c:v>
                </c:pt>
                <c:pt idx="106">
                  <c:v>177</c:v>
                </c:pt>
                <c:pt idx="107">
                  <c:v>177</c:v>
                </c:pt>
                <c:pt idx="108">
                  <c:v>174</c:v>
                </c:pt>
                <c:pt idx="109">
                  <c:v>174</c:v>
                </c:pt>
                <c:pt idx="110">
                  <c:v>174</c:v>
                </c:pt>
                <c:pt idx="111">
                  <c:v>174</c:v>
                </c:pt>
                <c:pt idx="112">
                  <c:v>171</c:v>
                </c:pt>
                <c:pt idx="113">
                  <c:v>171</c:v>
                </c:pt>
                <c:pt idx="114">
                  <c:v>168</c:v>
                </c:pt>
                <c:pt idx="115">
                  <c:v>168</c:v>
                </c:pt>
                <c:pt idx="116">
                  <c:v>168</c:v>
                </c:pt>
                <c:pt idx="117">
                  <c:v>165</c:v>
                </c:pt>
                <c:pt idx="118">
                  <c:v>162</c:v>
                </c:pt>
                <c:pt idx="119">
                  <c:v>162</c:v>
                </c:pt>
                <c:pt idx="120">
                  <c:v>162</c:v>
                </c:pt>
                <c:pt idx="121">
                  <c:v>159</c:v>
                </c:pt>
                <c:pt idx="122">
                  <c:v>159</c:v>
                </c:pt>
                <c:pt idx="123">
                  <c:v>156</c:v>
                </c:pt>
                <c:pt idx="124">
                  <c:v>156</c:v>
                </c:pt>
                <c:pt idx="125">
                  <c:v>156</c:v>
                </c:pt>
                <c:pt idx="126">
                  <c:v>153</c:v>
                </c:pt>
                <c:pt idx="127">
                  <c:v>150</c:v>
                </c:pt>
                <c:pt idx="128">
                  <c:v>150</c:v>
                </c:pt>
                <c:pt idx="129">
                  <c:v>150</c:v>
                </c:pt>
                <c:pt idx="130">
                  <c:v>150</c:v>
                </c:pt>
                <c:pt idx="131">
                  <c:v>147</c:v>
                </c:pt>
                <c:pt idx="132">
                  <c:v>144</c:v>
                </c:pt>
                <c:pt idx="133">
                  <c:v>144</c:v>
                </c:pt>
                <c:pt idx="134">
                  <c:v>144</c:v>
                </c:pt>
                <c:pt idx="135">
                  <c:v>144</c:v>
                </c:pt>
                <c:pt idx="136">
                  <c:v>141</c:v>
                </c:pt>
                <c:pt idx="137">
                  <c:v>141</c:v>
                </c:pt>
                <c:pt idx="138">
                  <c:v>138</c:v>
                </c:pt>
                <c:pt idx="139">
                  <c:v>138</c:v>
                </c:pt>
                <c:pt idx="140">
                  <c:v>135</c:v>
                </c:pt>
                <c:pt idx="141">
                  <c:v>135</c:v>
                </c:pt>
                <c:pt idx="142">
                  <c:v>135</c:v>
                </c:pt>
                <c:pt idx="143">
                  <c:v>135</c:v>
                </c:pt>
                <c:pt idx="144">
                  <c:v>129</c:v>
                </c:pt>
                <c:pt idx="145">
                  <c:v>126</c:v>
                </c:pt>
                <c:pt idx="146">
                  <c:v>126</c:v>
                </c:pt>
                <c:pt idx="147">
                  <c:v>126</c:v>
                </c:pt>
                <c:pt idx="148">
                  <c:v>126</c:v>
                </c:pt>
                <c:pt idx="149">
                  <c:v>126</c:v>
                </c:pt>
                <c:pt idx="150">
                  <c:v>123</c:v>
                </c:pt>
                <c:pt idx="151">
                  <c:v>123</c:v>
                </c:pt>
                <c:pt idx="152">
                  <c:v>123</c:v>
                </c:pt>
                <c:pt idx="153">
                  <c:v>123</c:v>
                </c:pt>
                <c:pt idx="154">
                  <c:v>123</c:v>
                </c:pt>
                <c:pt idx="155">
                  <c:v>120</c:v>
                </c:pt>
                <c:pt idx="156">
                  <c:v>120</c:v>
                </c:pt>
                <c:pt idx="157">
                  <c:v>120</c:v>
                </c:pt>
                <c:pt idx="158">
                  <c:v>117</c:v>
                </c:pt>
                <c:pt idx="159">
                  <c:v>117</c:v>
                </c:pt>
                <c:pt idx="160">
                  <c:v>117</c:v>
                </c:pt>
                <c:pt idx="161">
                  <c:v>114</c:v>
                </c:pt>
                <c:pt idx="162">
                  <c:v>114</c:v>
                </c:pt>
                <c:pt idx="163">
                  <c:v>114</c:v>
                </c:pt>
                <c:pt idx="164">
                  <c:v>111</c:v>
                </c:pt>
                <c:pt idx="165">
                  <c:v>105</c:v>
                </c:pt>
                <c:pt idx="166">
                  <c:v>102</c:v>
                </c:pt>
                <c:pt idx="167">
                  <c:v>102</c:v>
                </c:pt>
                <c:pt idx="168">
                  <c:v>102</c:v>
                </c:pt>
                <c:pt idx="169">
                  <c:v>102</c:v>
                </c:pt>
                <c:pt idx="170">
                  <c:v>102</c:v>
                </c:pt>
                <c:pt idx="171">
                  <c:v>102</c:v>
                </c:pt>
                <c:pt idx="172">
                  <c:v>99</c:v>
                </c:pt>
                <c:pt idx="173">
                  <c:v>99</c:v>
                </c:pt>
                <c:pt idx="174">
                  <c:v>96</c:v>
                </c:pt>
                <c:pt idx="175">
                  <c:v>96</c:v>
                </c:pt>
                <c:pt idx="176">
                  <c:v>96</c:v>
                </c:pt>
                <c:pt idx="177">
                  <c:v>93</c:v>
                </c:pt>
                <c:pt idx="178">
                  <c:v>93</c:v>
                </c:pt>
                <c:pt idx="179">
                  <c:v>93</c:v>
                </c:pt>
                <c:pt idx="180">
                  <c:v>93</c:v>
                </c:pt>
                <c:pt idx="181">
                  <c:v>93</c:v>
                </c:pt>
                <c:pt idx="182">
                  <c:v>90</c:v>
                </c:pt>
                <c:pt idx="183">
                  <c:v>90</c:v>
                </c:pt>
                <c:pt idx="184">
                  <c:v>90</c:v>
                </c:pt>
                <c:pt idx="185">
                  <c:v>87</c:v>
                </c:pt>
                <c:pt idx="186">
                  <c:v>87</c:v>
                </c:pt>
                <c:pt idx="187">
                  <c:v>87</c:v>
                </c:pt>
                <c:pt idx="188">
                  <c:v>87</c:v>
                </c:pt>
                <c:pt idx="189">
                  <c:v>87</c:v>
                </c:pt>
                <c:pt idx="190">
                  <c:v>87</c:v>
                </c:pt>
                <c:pt idx="191">
                  <c:v>84</c:v>
                </c:pt>
                <c:pt idx="192">
                  <c:v>84</c:v>
                </c:pt>
                <c:pt idx="193">
                  <c:v>84</c:v>
                </c:pt>
                <c:pt idx="194">
                  <c:v>81</c:v>
                </c:pt>
                <c:pt idx="195">
                  <c:v>81</c:v>
                </c:pt>
                <c:pt idx="196">
                  <c:v>81</c:v>
                </c:pt>
                <c:pt idx="197">
                  <c:v>81</c:v>
                </c:pt>
                <c:pt idx="198">
                  <c:v>78</c:v>
                </c:pt>
                <c:pt idx="199">
                  <c:v>78</c:v>
                </c:pt>
                <c:pt idx="200">
                  <c:v>75</c:v>
                </c:pt>
                <c:pt idx="201">
                  <c:v>75</c:v>
                </c:pt>
                <c:pt idx="202">
                  <c:v>75</c:v>
                </c:pt>
                <c:pt idx="203">
                  <c:v>75</c:v>
                </c:pt>
                <c:pt idx="204">
                  <c:v>75</c:v>
                </c:pt>
                <c:pt idx="205">
                  <c:v>75</c:v>
                </c:pt>
                <c:pt idx="206">
                  <c:v>75</c:v>
                </c:pt>
                <c:pt idx="207">
                  <c:v>75</c:v>
                </c:pt>
                <c:pt idx="208">
                  <c:v>75</c:v>
                </c:pt>
                <c:pt idx="209">
                  <c:v>72</c:v>
                </c:pt>
                <c:pt idx="210">
                  <c:v>72</c:v>
                </c:pt>
                <c:pt idx="211">
                  <c:v>72</c:v>
                </c:pt>
                <c:pt idx="212">
                  <c:v>72</c:v>
                </c:pt>
                <c:pt idx="213">
                  <c:v>69</c:v>
                </c:pt>
                <c:pt idx="214">
                  <c:v>66</c:v>
                </c:pt>
                <c:pt idx="215">
                  <c:v>63</c:v>
                </c:pt>
                <c:pt idx="216">
                  <c:v>63</c:v>
                </c:pt>
                <c:pt idx="217">
                  <c:v>63</c:v>
                </c:pt>
                <c:pt idx="218">
                  <c:v>63</c:v>
                </c:pt>
                <c:pt idx="219">
                  <c:v>63</c:v>
                </c:pt>
                <c:pt idx="220">
                  <c:v>60</c:v>
                </c:pt>
                <c:pt idx="221">
                  <c:v>57</c:v>
                </c:pt>
                <c:pt idx="222">
                  <c:v>54</c:v>
                </c:pt>
                <c:pt idx="223">
                  <c:v>54</c:v>
                </c:pt>
                <c:pt idx="224">
                  <c:v>54</c:v>
                </c:pt>
                <c:pt idx="225">
                  <c:v>54</c:v>
                </c:pt>
                <c:pt idx="226">
                  <c:v>54</c:v>
                </c:pt>
                <c:pt idx="227">
                  <c:v>54</c:v>
                </c:pt>
                <c:pt idx="228">
                  <c:v>51</c:v>
                </c:pt>
                <c:pt idx="229">
                  <c:v>51</c:v>
                </c:pt>
                <c:pt idx="230">
                  <c:v>51</c:v>
                </c:pt>
                <c:pt idx="231">
                  <c:v>51</c:v>
                </c:pt>
                <c:pt idx="232">
                  <c:v>48</c:v>
                </c:pt>
                <c:pt idx="233">
                  <c:v>48</c:v>
                </c:pt>
                <c:pt idx="234">
                  <c:v>48</c:v>
                </c:pt>
                <c:pt idx="235">
                  <c:v>48</c:v>
                </c:pt>
                <c:pt idx="236">
                  <c:v>48</c:v>
                </c:pt>
                <c:pt idx="237">
                  <c:v>48</c:v>
                </c:pt>
                <c:pt idx="238">
                  <c:v>48</c:v>
                </c:pt>
                <c:pt idx="239">
                  <c:v>45</c:v>
                </c:pt>
                <c:pt idx="240">
                  <c:v>45</c:v>
                </c:pt>
                <c:pt idx="241">
                  <c:v>45</c:v>
                </c:pt>
                <c:pt idx="242">
                  <c:v>45</c:v>
                </c:pt>
                <c:pt idx="243">
                  <c:v>42</c:v>
                </c:pt>
                <c:pt idx="244">
                  <c:v>42</c:v>
                </c:pt>
                <c:pt idx="245">
                  <c:v>42</c:v>
                </c:pt>
                <c:pt idx="246">
                  <c:v>42</c:v>
                </c:pt>
                <c:pt idx="247">
                  <c:v>39</c:v>
                </c:pt>
                <c:pt idx="248">
                  <c:v>39</c:v>
                </c:pt>
                <c:pt idx="249">
                  <c:v>39</c:v>
                </c:pt>
                <c:pt idx="250">
                  <c:v>39</c:v>
                </c:pt>
                <c:pt idx="251">
                  <c:v>39</c:v>
                </c:pt>
                <c:pt idx="252">
                  <c:v>36</c:v>
                </c:pt>
                <c:pt idx="253">
                  <c:v>36</c:v>
                </c:pt>
                <c:pt idx="254">
                  <c:v>36</c:v>
                </c:pt>
                <c:pt idx="255">
                  <c:v>36</c:v>
                </c:pt>
                <c:pt idx="256">
                  <c:v>36</c:v>
                </c:pt>
                <c:pt idx="257">
                  <c:v>30</c:v>
                </c:pt>
                <c:pt idx="258">
                  <c:v>30</c:v>
                </c:pt>
                <c:pt idx="259">
                  <c:v>30</c:v>
                </c:pt>
                <c:pt idx="260">
                  <c:v>30</c:v>
                </c:pt>
                <c:pt idx="261">
                  <c:v>30</c:v>
                </c:pt>
                <c:pt idx="262">
                  <c:v>30</c:v>
                </c:pt>
                <c:pt idx="263">
                  <c:v>27</c:v>
                </c:pt>
                <c:pt idx="264">
                  <c:v>27</c:v>
                </c:pt>
                <c:pt idx="265">
                  <c:v>27</c:v>
                </c:pt>
                <c:pt idx="266">
                  <c:v>27</c:v>
                </c:pt>
                <c:pt idx="267">
                  <c:v>27</c:v>
                </c:pt>
                <c:pt idx="268">
                  <c:v>27</c:v>
                </c:pt>
                <c:pt idx="269">
                  <c:v>24</c:v>
                </c:pt>
                <c:pt idx="270">
                  <c:v>24</c:v>
                </c:pt>
                <c:pt idx="271">
                  <c:v>21</c:v>
                </c:pt>
                <c:pt idx="272">
                  <c:v>21</c:v>
                </c:pt>
                <c:pt idx="273">
                  <c:v>21</c:v>
                </c:pt>
                <c:pt idx="274">
                  <c:v>21</c:v>
                </c:pt>
                <c:pt idx="275">
                  <c:v>21</c:v>
                </c:pt>
                <c:pt idx="276">
                  <c:v>21</c:v>
                </c:pt>
                <c:pt idx="277">
                  <c:v>21</c:v>
                </c:pt>
                <c:pt idx="278">
                  <c:v>18</c:v>
                </c:pt>
                <c:pt idx="279">
                  <c:v>18</c:v>
                </c:pt>
                <c:pt idx="280">
                  <c:v>18</c:v>
                </c:pt>
                <c:pt idx="281">
                  <c:v>15</c:v>
                </c:pt>
                <c:pt idx="282">
                  <c:v>15</c:v>
                </c:pt>
                <c:pt idx="283">
                  <c:v>15</c:v>
                </c:pt>
                <c:pt idx="284">
                  <c:v>15</c:v>
                </c:pt>
                <c:pt idx="285">
                  <c:v>12</c:v>
                </c:pt>
                <c:pt idx="286">
                  <c:v>12</c:v>
                </c:pt>
                <c:pt idx="287">
                  <c:v>9</c:v>
                </c:pt>
                <c:pt idx="288">
                  <c:v>9</c:v>
                </c:pt>
                <c:pt idx="289">
                  <c:v>9</c:v>
                </c:pt>
                <c:pt idx="290">
                  <c:v>9</c:v>
                </c:pt>
                <c:pt idx="291">
                  <c:v>9</c:v>
                </c:pt>
                <c:pt idx="292">
                  <c:v>6</c:v>
                </c:pt>
                <c:pt idx="293">
                  <c:v>6</c:v>
                </c:pt>
                <c:pt idx="294">
                  <c:v>6</c:v>
                </c:pt>
                <c:pt idx="295">
                  <c:v>3</c:v>
                </c:pt>
                <c:pt idx="296">
                  <c:v>3</c:v>
                </c:pt>
                <c:pt idx="297">
                  <c:v>3</c:v>
                </c:pt>
                <c:pt idx="298">
                  <c:v>3</c:v>
                </c:pt>
                <c:pt idx="299">
                  <c:v>0</c:v>
                </c:pt>
              </c:numCache>
            </c:numRef>
          </c:yVal>
          <c:smooth val="0"/>
          <c:extLst>
            <c:ext xmlns:c16="http://schemas.microsoft.com/office/drawing/2014/chart" uri="{C3380CC4-5D6E-409C-BE32-E72D297353CC}">
              <c16:uniqueId val="{00000000-0D77-46FB-B01E-953B8B92790E}"/>
            </c:ext>
          </c:extLst>
        </c:ser>
        <c:dLbls>
          <c:showLegendKey val="0"/>
          <c:showVal val="0"/>
          <c:showCatName val="0"/>
          <c:showSerName val="0"/>
          <c:showPercent val="0"/>
          <c:showBubbleSize val="0"/>
        </c:dLbls>
        <c:axId val="932056863"/>
        <c:axId val="932058303"/>
      </c:scatterChart>
      <c:valAx>
        <c:axId val="93205686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058303"/>
        <c:crosses val="autoZero"/>
        <c:crossBetween val="midCat"/>
      </c:valAx>
      <c:valAx>
        <c:axId val="932058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0568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title pos="t" align="ctr" overlay="0"/>
    <cx:plotArea>
      <cx:plotAreaRegion>
        <cx:series layoutId="boxWhisker" uniqueId="{A8B20235-C1B4-4194-A2A3-8E134F5C6B33}">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plotArea>
      <cx:plotAreaRegion>
        <cx:series layoutId="boxWhisker" uniqueId="{DB63CF90-181F-4444-AC32-7AAEDEDD02B0}">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microsoft.com/office/2014/relationships/chartEx" Target="../charts/chartEx2.xml"/><Relationship Id="rId2" Type="http://schemas.microsoft.com/office/2014/relationships/chartEx" Target="../charts/chartEx1.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60960</xdr:colOff>
      <xdr:row>3</xdr:row>
      <xdr:rowOff>22860</xdr:rowOff>
    </xdr:from>
    <xdr:to>
      <xdr:col>14</xdr:col>
      <xdr:colOff>601980</xdr:colOff>
      <xdr:row>16</xdr:row>
      <xdr:rowOff>112395</xdr:rowOff>
    </xdr:to>
    <mc:AlternateContent xmlns:mc="http://schemas.openxmlformats.org/markup-compatibility/2006">
      <mc:Choice xmlns:a14="http://schemas.microsoft.com/office/drawing/2010/main" Requires="a14">
        <xdr:graphicFrame macro="">
          <xdr:nvGraphicFramePr>
            <xdr:cNvPr id="2" name="Sales Person">
              <a:extLst>
                <a:ext uri="{FF2B5EF4-FFF2-40B4-BE49-F238E27FC236}">
                  <a16:creationId xmlns:a16="http://schemas.microsoft.com/office/drawing/2014/main" id="{AA4ACAE4-B0E5-DC91-3CE3-3787BD68928C}"/>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dr:sp macro="" textlink="">
          <xdr:nvSpPr>
            <xdr:cNvPr id="0" name=""/>
            <xdr:cNvSpPr>
              <a:spLocks noTextEdit="1"/>
            </xdr:cNvSpPr>
          </xdr:nvSpPr>
          <xdr:spPr>
            <a:xfrm>
              <a:off x="6690360" y="1165860"/>
              <a:ext cx="358902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182880</xdr:colOff>
      <xdr:row>6</xdr:row>
      <xdr:rowOff>34290</xdr:rowOff>
    </xdr:from>
    <xdr:to>
      <xdr:col>8</xdr:col>
      <xdr:colOff>487680</xdr:colOff>
      <xdr:row>21</xdr:row>
      <xdr:rowOff>34290</xdr:rowOff>
    </xdr:to>
    <xdr:graphicFrame macro="">
      <xdr:nvGraphicFramePr>
        <xdr:cNvPr id="2" name="Chart 1">
          <a:extLst>
            <a:ext uri="{FF2B5EF4-FFF2-40B4-BE49-F238E27FC236}">
              <a16:creationId xmlns:a16="http://schemas.microsoft.com/office/drawing/2014/main" id="{57C76B30-0B51-6A39-C207-6402D3CECF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123190</xdr:colOff>
      <xdr:row>25</xdr:row>
      <xdr:rowOff>147320</xdr:rowOff>
    </xdr:from>
    <xdr:to>
      <xdr:col>8</xdr:col>
      <xdr:colOff>440690</xdr:colOff>
      <xdr:row>40</xdr:row>
      <xdr:rowOff>147320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24B57C00-3532-7507-CE6A-460B6ED44DA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26440" y="5497195"/>
              <a:ext cx="4540250" cy="28575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154738</xdr:colOff>
      <xdr:row>45</xdr:row>
      <xdr:rowOff>42845</xdr:rowOff>
    </xdr:from>
    <xdr:to>
      <xdr:col>8</xdr:col>
      <xdr:colOff>454443</xdr:colOff>
      <xdr:row>60</xdr:row>
      <xdr:rowOff>38449</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D2A30D58-1439-4CFB-56A2-C7EBD8903DA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71595" y="8805845"/>
              <a:ext cx="4617705" cy="271703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464820</xdr:colOff>
      <xdr:row>6</xdr:row>
      <xdr:rowOff>30480</xdr:rowOff>
    </xdr:from>
    <xdr:to>
      <xdr:col>9</xdr:col>
      <xdr:colOff>76200</xdr:colOff>
      <xdr:row>19</xdr:row>
      <xdr:rowOff>120015</xdr:rowOff>
    </xdr:to>
    <mc:AlternateContent xmlns:mc="http://schemas.openxmlformats.org/markup-compatibility/2006">
      <mc:Choice xmlns:a14="http://schemas.microsoft.com/office/drawing/2010/main" Requires="a14">
        <xdr:graphicFrame macro="">
          <xdr:nvGraphicFramePr>
            <xdr:cNvPr id="2" name="Geography">
              <a:extLst>
                <a:ext uri="{FF2B5EF4-FFF2-40B4-BE49-F238E27FC236}">
                  <a16:creationId xmlns:a16="http://schemas.microsoft.com/office/drawing/2014/main" id="{B4E50F64-7DDE-0C85-9856-14B098DF33BE}"/>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dr:sp macro="" textlink="">
          <xdr:nvSpPr>
            <xdr:cNvPr id="0" name=""/>
            <xdr:cNvSpPr>
              <a:spLocks noTextEdit="1"/>
            </xdr:cNvSpPr>
          </xdr:nvSpPr>
          <xdr:spPr>
            <a:xfrm>
              <a:off x="4488180" y="17221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594360</xdr:colOff>
      <xdr:row>4</xdr:row>
      <xdr:rowOff>7620</xdr:rowOff>
    </xdr:from>
    <xdr:to>
      <xdr:col>11</xdr:col>
      <xdr:colOff>594360</xdr:colOff>
      <xdr:row>17</xdr:row>
      <xdr:rowOff>97155</xdr:rowOff>
    </xdr:to>
    <mc:AlternateContent xmlns:mc="http://schemas.openxmlformats.org/markup-compatibility/2006">
      <mc:Choice xmlns:a14="http://schemas.microsoft.com/office/drawing/2010/main" Requires="a14">
        <xdr:graphicFrame macro="">
          <xdr:nvGraphicFramePr>
            <xdr:cNvPr id="2" name="Geography 1">
              <a:extLst>
                <a:ext uri="{FF2B5EF4-FFF2-40B4-BE49-F238E27FC236}">
                  <a16:creationId xmlns:a16="http://schemas.microsoft.com/office/drawing/2014/main" id="{CABF54CD-0259-0EBE-5F66-68A4C09DCC3E}"/>
                </a:ext>
              </a:extLst>
            </xdr:cNvPr>
            <xdr:cNvGraphicFramePr/>
          </xdr:nvGraphicFramePr>
          <xdr:xfrm>
            <a:off x="0" y="0"/>
            <a:ext cx="0" cy="0"/>
          </xdr:xfrm>
          <a:graphic>
            <a:graphicData uri="http://schemas.microsoft.com/office/drawing/2010/slicer">
              <sle:slicer xmlns:sle="http://schemas.microsoft.com/office/drawing/2010/slicer" name="Geography 1"/>
            </a:graphicData>
          </a:graphic>
        </xdr:graphicFrame>
      </mc:Choice>
      <mc:Fallback>
        <xdr:sp macro="" textlink="">
          <xdr:nvSpPr>
            <xdr:cNvPr id="0" name=""/>
            <xdr:cNvSpPr>
              <a:spLocks noTextEdit="1"/>
            </xdr:cNvSpPr>
          </xdr:nvSpPr>
          <xdr:spPr>
            <a:xfrm>
              <a:off x="7178040" y="13335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odha kapali" refreshedDate="46008.71696863426" createdVersion="8" refreshedVersion="8" minRefreshableVersion="3" recordCount="300" xr:uid="{95D521B4-D320-45E6-818B-BACD3BCA1EC7}">
  <cacheSource type="worksheet">
    <worksheetSource name="data1"/>
  </cacheSource>
  <cacheFields count="5">
    <cacheField name="Sales Person" numFmtId="0">
      <sharedItems count="10">
        <s v="Oby Sorrel"/>
        <s v="Barr Faughny"/>
        <s v="Brien Boise"/>
        <s v="Gunar Cockshoot"/>
        <s v="Husein Augar"/>
        <s v="Curtice Advani"/>
        <s v="Ram Mahesh"/>
        <s v="Ches Bonnell"/>
        <s v="Gigi Bohling"/>
        <s v="Carla Molina"/>
      </sharedItems>
    </cacheField>
    <cacheField name="Geography" numFmtId="0">
      <sharedItems count="6">
        <s v="Australia"/>
        <s v="Canada"/>
        <s v="India"/>
        <s v="UK"/>
        <s v="USA"/>
        <s v="New Zealand"/>
      </sharedItems>
    </cacheField>
    <cacheField name="Product" numFmtId="0">
      <sharedItems count="22">
        <s v="50% Dark Bites"/>
        <s v="Organic Choco Syrup"/>
        <s v="Milk Bars"/>
        <s v="Choco Coated Almonds"/>
        <s v="Orange Choco"/>
        <s v="White Choc"/>
        <s v="Caramel Stuffed Bars"/>
        <s v="Baker's Choco Chips"/>
        <s v="70% Dark Bites"/>
        <s v="Peanut Butter Cubes"/>
        <s v="Mint Chip Choco"/>
        <s v="Almond Choco"/>
        <s v="Manuka Honey Choco"/>
        <s v="After Nines"/>
        <s v="Smooth Sliky Salty"/>
        <s v="Eclairs"/>
        <s v="85% Dark Bars"/>
        <s v="99% Dark &amp; Pure"/>
        <s v="Drinking Coco"/>
        <s v="Spicy Special Slims"/>
        <s v="Raspberry Choco"/>
        <s v="Fruit &amp; Nut Bars"/>
      </sharedItems>
    </cacheField>
    <cacheField name="Amount" numFmtId="6">
      <sharedItems containsSemiMixedTypes="0" containsString="0" containsNumber="1" containsInteger="1" minValue="0" maxValue="16184"/>
    </cacheField>
    <cacheField name="Units" numFmtId="3">
      <sharedItems containsSemiMixedTypes="0" containsString="0" containsNumber="1" containsInteger="1" minValue="0" maxValue="525"/>
    </cacheField>
  </cacheFields>
  <extLst>
    <ext xmlns:x14="http://schemas.microsoft.com/office/spreadsheetml/2009/9/main" uri="{725AE2AE-9491-48be-B2B4-4EB974FC3084}">
      <x14:pivotCacheDefinition pivotCacheId="183266091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odha kapali" refreshedDate="46009.85810636574" backgroundQuery="1" createdVersion="8" refreshedVersion="8" minRefreshableVersion="3" recordCount="0" supportSubquery="1" supportAdvancedDrill="1" xr:uid="{DA48F871-2F6B-4504-AC31-903C38C9EBAE}">
  <cacheSource type="external" connectionId="1"/>
  <cacheFields count="2">
    <cacheField name="[data1].[Product].[Product]" caption="Product" numFmtId="0" hierarchy="2" level="1">
      <sharedItems count="5">
        <s v="85% Dark Bars"/>
        <s v="After Nines"/>
        <s v="Baker's Choco Chips"/>
        <s v="Peanut Butter Cubes"/>
        <s v="Raspberry Choco"/>
      </sharedItems>
    </cacheField>
    <cacheField name="[Measures].[sales per unit]" caption="sales per unit" numFmtId="0" hierarchy="10" level="32767"/>
  </cacheFields>
  <cacheHierarchies count="15">
    <cacheHierarchy uniqueName="[data1].[Sales Person]" caption="Sales Person" attribute="1" defaultMemberUniqueName="[data1].[Sales Person].[All]" allUniqueName="[data1].[Sales Person].[All]" dimensionUniqueName="[data1]" displayFolder="" count="0" memberValueDatatype="130" unbalanced="0"/>
    <cacheHierarchy uniqueName="[data1].[Geography]" caption="Geography" attribute="1" defaultMemberUniqueName="[data1].[Geography].[All]" allUniqueName="[data1].[Geography].[All]" dimensionUniqueName="[data1]" displayFolder="" count="0" memberValueDatatype="130" unbalanced="0"/>
    <cacheHierarchy uniqueName="[data1].[Product]" caption="Product" attribute="1" defaultMemberUniqueName="[data1].[Product].[All]" allUniqueName="[data1].[Product].[All]" dimensionUniqueName="[data1]" displayFolder="" count="2" memberValueDatatype="130" unbalanced="0">
      <fieldsUsage count="2">
        <fieldUsage x="-1"/>
        <fieldUsage x="0"/>
      </fieldsUsage>
    </cacheHierarchy>
    <cacheHierarchy uniqueName="[data1].[Amount]" caption="Amount" attribute="1" defaultMemberUniqueName="[data1].[Amount].[All]" allUniqueName="[data1].[Amount].[All]" dimensionUniqueName="[data1]" displayFolder="" count="0" memberValueDatatype="20" unbalanced="0"/>
    <cacheHierarchy uniqueName="[data1].[Units]" caption="Units" attribute="1" defaultMemberUniqueName="[data1].[Units].[All]" allUniqueName="[data1].[Units].[All]" dimensionUniqueName="[data1]" displayFolder="" count="0" memberValueDatatype="20" unbalanced="0"/>
    <cacheHierarchy uniqueName="[data1].[Cost per unit]" caption="Cost per unit" attribute="1" defaultMemberUniqueName="[data1].[Cost per unit].[All]" allUniqueName="[data1].[Cost per unit].[All]" dimensionUniqueName="[data1]" displayFolder="" count="0" memberValueDatatype="5" unbalanced="0"/>
    <cacheHierarchy uniqueName="[data1].[Cost]" caption="Cost" attribute="1" defaultMemberUniqueName="[data1].[Cost].[All]" allUniqueName="[data1].[Cost].[All]" dimensionUniqueName="[data1]" displayFolder="" count="0" memberValueDatatype="5" unbalanced="0"/>
    <cacheHierarchy uniqueName="[Measures].[Sum of Amount]" caption="Sum of Amount" measure="1" displayFolder="" measureGroup="data1" count="0">
      <extLst>
        <ext xmlns:x15="http://schemas.microsoft.com/office/spreadsheetml/2010/11/main" uri="{B97F6D7D-B522-45F9-BDA1-12C45D357490}">
          <x15:cacheHierarchy aggregatedColumn="3"/>
        </ext>
      </extLst>
    </cacheHierarchy>
    <cacheHierarchy uniqueName="[Measures].[Sum of Units]" caption="Sum of Units" measure="1" displayFolder="" measureGroup="data1" count="0">
      <extLst>
        <ext xmlns:x15="http://schemas.microsoft.com/office/spreadsheetml/2010/11/main" uri="{B97F6D7D-B522-45F9-BDA1-12C45D357490}">
          <x15:cacheHierarchy aggregatedColumn="4"/>
        </ext>
      </extLst>
    </cacheHierarchy>
    <cacheHierarchy uniqueName="[Measures].[Sum of Cost]" caption="Sum of Cost" measure="1" displayFolder="" measureGroup="data1"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1" count="0" oneField="1">
      <fieldsUsage count="1">
        <fieldUsage x="1"/>
      </fieldsUsage>
    </cacheHierarchy>
    <cacheHierarchy uniqueName="[Measures].[Total Profit]" caption="Total Profit" measure="1" displayFolder="" measureGroup="data1" count="0"/>
    <cacheHierarchy uniqueName="[Measures].[Profit Percent]" caption="Profit Percent" measure="1" displayFolder="" measureGroup="data1" count="0"/>
    <cacheHierarchy uniqueName="[Measures].[__XL_Count data1]" caption="__XL_Count data1" measure="1" displayFolder="" measureGroup="data1" count="0" hidden="1"/>
    <cacheHierarchy uniqueName="[Measures].[__No measures defined]" caption="__No measures defined" measure="1" displayFolder="" count="0" hidden="1"/>
  </cacheHierarchies>
  <kpis count="0"/>
  <dimensions count="2">
    <dimension name="data1" uniqueName="[data1]" caption="data1"/>
    <dimension measure="1" name="Measures" uniqueName="[Measures]" caption="Measures"/>
  </dimensions>
  <measureGroups count="1">
    <measureGroup name="data1" caption="data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odha kapali" refreshedDate="46009.872775000003" backgroundQuery="1" createdVersion="8" refreshedVersion="8" minRefreshableVersion="3" recordCount="0" supportSubquery="1" supportAdvancedDrill="1" xr:uid="{9EE033DB-D4C5-43AA-98CD-F4E61254344D}">
  <cacheSource type="external" connectionId="1"/>
  <cacheFields count="6">
    <cacheField name="[data1].[Product].[Product]" caption="Product" numFmtId="0" hierarchy="2" level="1">
      <sharedItems count="22">
        <s v="50% Dark Bites"/>
        <s v="70% Dark Bites"/>
        <s v="85% Dark Bars"/>
        <s v="99% Dark &amp; Pure"/>
        <s v="After Nines"/>
        <s v="Almond Choco"/>
        <s v="Baker's Choco Chips"/>
        <s v="Caramel Stuffed Bars"/>
        <s v="Choco Coated Almonds"/>
        <s v="Drinking Coco"/>
        <s v="Eclairs"/>
        <s v="Fruit &amp; Nut Bars"/>
        <s v="Manuka Honey Choco"/>
        <s v="Milk Bars"/>
        <s v="Mint Chip Choco"/>
        <s v="Orange Choco"/>
        <s v="Organic Choco Syrup"/>
        <s v="Peanut Butter Cubes"/>
        <s v="Raspberry Choco"/>
        <s v="Smooth Sliky Salty"/>
        <s v="Spicy Special Slims"/>
        <s v="White Choc"/>
      </sharedItems>
    </cacheField>
    <cacheField name="[Measures].[Sum of Amount]" caption="Sum of Amount" numFmtId="0" hierarchy="7" level="32767"/>
    <cacheField name="[Measures].[Sum of Units]" caption="Sum of Units" numFmtId="0" hierarchy="8" level="32767"/>
    <cacheField name="[Measures].[Total Profit]" caption="Total Profit" numFmtId="0" hierarchy="11" level="32767"/>
    <cacheField name="[Measures].[Profit Percent]" caption="Profit Percent" numFmtId="0" hierarchy="12" level="32767"/>
    <cacheField name="[data1].[Geography].[Geography]" caption="Geography" numFmtId="0" hierarchy="1" level="1">
      <sharedItems containsSemiMixedTypes="0" containsNonDate="0" containsString="0"/>
    </cacheField>
  </cacheFields>
  <cacheHierarchies count="15">
    <cacheHierarchy uniqueName="[data1].[Sales Person]" caption="Sales Person" attribute="1" defaultMemberUniqueName="[data1].[Sales Person].[All]" allUniqueName="[data1].[Sales Person].[All]" dimensionUniqueName="[data1]" displayFolder="" count="0" memberValueDatatype="130" unbalanced="0"/>
    <cacheHierarchy uniqueName="[data1].[Geography]" caption="Geography" attribute="1" defaultMemberUniqueName="[data1].[Geography].[All]" allUniqueName="[data1].[Geography].[All]" dimensionUniqueName="[data1]" displayFolder="" count="2" memberValueDatatype="130" unbalanced="0">
      <fieldsUsage count="2">
        <fieldUsage x="-1"/>
        <fieldUsage x="5"/>
      </fieldsUsage>
    </cacheHierarchy>
    <cacheHierarchy uniqueName="[data1].[Product]" caption="Product" attribute="1" defaultMemberUniqueName="[data1].[Product].[All]" allUniqueName="[data1].[Product].[All]" dimensionUniqueName="[data1]" displayFolder="" count="2" memberValueDatatype="130" unbalanced="0">
      <fieldsUsage count="2">
        <fieldUsage x="-1"/>
        <fieldUsage x="0"/>
      </fieldsUsage>
    </cacheHierarchy>
    <cacheHierarchy uniqueName="[data1].[Amount]" caption="Amount" attribute="1" defaultMemberUniqueName="[data1].[Amount].[All]" allUniqueName="[data1].[Amount].[All]" dimensionUniqueName="[data1]" displayFolder="" count="0" memberValueDatatype="20" unbalanced="0"/>
    <cacheHierarchy uniqueName="[data1].[Units]" caption="Units" attribute="1" defaultMemberUniqueName="[data1].[Units].[All]" allUniqueName="[data1].[Units].[All]" dimensionUniqueName="[data1]" displayFolder="" count="0" memberValueDatatype="20" unbalanced="0"/>
    <cacheHierarchy uniqueName="[data1].[Cost per unit]" caption="Cost per unit" attribute="1" defaultMemberUniqueName="[data1].[Cost per unit].[All]" allUniqueName="[data1].[Cost per unit].[All]" dimensionUniqueName="[data1]" displayFolder="" count="0" memberValueDatatype="5" unbalanced="0"/>
    <cacheHierarchy uniqueName="[data1].[Cost]" caption="Cost" attribute="1" defaultMemberUniqueName="[data1].[Cost].[All]" allUniqueName="[data1].[Cost].[All]" dimensionUniqueName="[data1]" displayFolder="" count="0" memberValueDatatype="5" unbalanced="0"/>
    <cacheHierarchy uniqueName="[Measures].[Sum of Amount]" caption="Sum of Amount" measure="1" displayFolder="" measureGroup="data1" count="0" oneField="1">
      <fieldsUsage count="1">
        <fieldUsage x="1"/>
      </fieldsUsage>
      <extLst>
        <ext xmlns:x15="http://schemas.microsoft.com/office/spreadsheetml/2010/11/main" uri="{B97F6D7D-B522-45F9-BDA1-12C45D357490}">
          <x15:cacheHierarchy aggregatedColumn="3"/>
        </ext>
      </extLst>
    </cacheHierarchy>
    <cacheHierarchy uniqueName="[Measures].[Sum of Units]" caption="Sum of Units" measure="1" displayFolder="" measureGroup="data1" count="0" oneField="1">
      <fieldsUsage count="1">
        <fieldUsage x="2"/>
      </fieldsUsage>
      <extLst>
        <ext xmlns:x15="http://schemas.microsoft.com/office/spreadsheetml/2010/11/main" uri="{B97F6D7D-B522-45F9-BDA1-12C45D357490}">
          <x15:cacheHierarchy aggregatedColumn="4"/>
        </ext>
      </extLst>
    </cacheHierarchy>
    <cacheHierarchy uniqueName="[Measures].[Sum of Cost]" caption="Sum of Cost" measure="1" displayFolder="" measureGroup="data1"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1" count="0"/>
    <cacheHierarchy uniqueName="[Measures].[Total Profit]" caption="Total Profit" measure="1" displayFolder="" measureGroup="data1" count="0" oneField="1">
      <fieldsUsage count="1">
        <fieldUsage x="3"/>
      </fieldsUsage>
    </cacheHierarchy>
    <cacheHierarchy uniqueName="[Measures].[Profit Percent]" caption="Profit Percent" measure="1" displayFolder="" measureGroup="data1" count="0" oneField="1">
      <fieldsUsage count="1">
        <fieldUsage x="4"/>
      </fieldsUsage>
    </cacheHierarchy>
    <cacheHierarchy uniqueName="[Measures].[__XL_Count data1]" caption="__XL_Count data1" measure="1" displayFolder="" measureGroup="data1" count="0" hidden="1"/>
    <cacheHierarchy uniqueName="[Measures].[__No measures defined]" caption="__No measures defined" measure="1" displayFolder="" count="0" hidden="1"/>
  </cacheHierarchies>
  <kpis count="0"/>
  <dimensions count="2">
    <dimension name="data1" uniqueName="[data1]" caption="data1"/>
    <dimension measure="1" name="Measures" uniqueName="[Measures]" caption="Measures"/>
  </dimensions>
  <measureGroups count="1">
    <measureGroup name="data1" caption="data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odha kapali" refreshedDate="46009.875565393515" backgroundQuery="1" createdVersion="8" refreshedVersion="8" minRefreshableVersion="3" recordCount="0" supportSubquery="1" supportAdvancedDrill="1" xr:uid="{E872AD6B-0F97-49C9-BA7C-6C418B5A75FD}">
  <cacheSource type="external" connectionId="1"/>
  <cacheFields count="3">
    <cacheField name="[data1].[Product].[Product]" caption="Product" numFmtId="0" hierarchy="2" level="1">
      <sharedItems count="21">
        <s v="50% Dark Bites"/>
        <s v="70% Dark Bites"/>
        <s v="85% Dark Bars"/>
        <s v="99% Dark &amp; Pure"/>
        <s v="After Nines"/>
        <s v="Almond Choco"/>
        <s v="Baker's Choco Chips"/>
        <s v="Caramel Stuffed Bars"/>
        <s v="Choco Coated Almonds"/>
        <s v="Eclairs"/>
        <s v="Fruit &amp; Nut Bars"/>
        <s v="Manuka Honey Choco"/>
        <s v="Milk Bars"/>
        <s v="Mint Chip Choco"/>
        <s v="Orange Choco"/>
        <s v="Organic Choco Syrup"/>
        <s v="Peanut Butter Cubes"/>
        <s v="Raspberry Choco"/>
        <s v="Smooth Sliky Salty"/>
        <s v="Spicy Special Slims"/>
        <s v="White Choc"/>
      </sharedItems>
    </cacheField>
    <cacheField name="[Measures].[Total Profit]" caption="Total Profit" numFmtId="0" hierarchy="11" level="32767"/>
    <cacheField name="[data1].[Geography].[Geography]" caption="Geography" numFmtId="0" hierarchy="1" level="1">
      <sharedItems containsSemiMixedTypes="0" containsNonDate="0" containsString="0"/>
    </cacheField>
  </cacheFields>
  <cacheHierarchies count="15">
    <cacheHierarchy uniqueName="[data1].[Sales Person]" caption="Sales Person" attribute="1" defaultMemberUniqueName="[data1].[Sales Person].[All]" allUniqueName="[data1].[Sales Person].[All]" dimensionUniqueName="[data1]" displayFolder="" count="0" memberValueDatatype="130" unbalanced="0"/>
    <cacheHierarchy uniqueName="[data1].[Geography]" caption="Geography" attribute="1" defaultMemberUniqueName="[data1].[Geography].[All]" allUniqueName="[data1].[Geography].[All]" dimensionUniqueName="[data1]" displayFolder="" count="2" memberValueDatatype="130" unbalanced="0">
      <fieldsUsage count="2">
        <fieldUsage x="-1"/>
        <fieldUsage x="2"/>
      </fieldsUsage>
    </cacheHierarchy>
    <cacheHierarchy uniqueName="[data1].[Product]" caption="Product" attribute="1" defaultMemberUniqueName="[data1].[Product].[All]" allUniqueName="[data1].[Product].[All]" dimensionUniqueName="[data1]" displayFolder="" count="2" memberValueDatatype="130" unbalanced="0">
      <fieldsUsage count="2">
        <fieldUsage x="-1"/>
        <fieldUsage x="0"/>
      </fieldsUsage>
    </cacheHierarchy>
    <cacheHierarchy uniqueName="[data1].[Amount]" caption="Amount" attribute="1" defaultMemberUniqueName="[data1].[Amount].[All]" allUniqueName="[data1].[Amount].[All]" dimensionUniqueName="[data1]" displayFolder="" count="0" memberValueDatatype="20" unbalanced="0"/>
    <cacheHierarchy uniqueName="[data1].[Units]" caption="Units" attribute="1" defaultMemberUniqueName="[data1].[Units].[All]" allUniqueName="[data1].[Units].[All]" dimensionUniqueName="[data1]" displayFolder="" count="0" memberValueDatatype="20" unbalanced="0"/>
    <cacheHierarchy uniqueName="[data1].[Cost per unit]" caption="Cost per unit" attribute="1" defaultMemberUniqueName="[data1].[Cost per unit].[All]" allUniqueName="[data1].[Cost per unit].[All]" dimensionUniqueName="[data1]" displayFolder="" count="0" memberValueDatatype="5" unbalanced="0"/>
    <cacheHierarchy uniqueName="[data1].[Cost]" caption="Cost" attribute="1" defaultMemberUniqueName="[data1].[Cost].[All]" allUniqueName="[data1].[Cost].[All]" dimensionUniqueName="[data1]" displayFolder="" count="0" memberValueDatatype="5" unbalanced="0"/>
    <cacheHierarchy uniqueName="[Measures].[Sum of Amount]" caption="Sum of Amount" measure="1" displayFolder="" measureGroup="data1" count="0">
      <extLst>
        <ext xmlns:x15="http://schemas.microsoft.com/office/spreadsheetml/2010/11/main" uri="{B97F6D7D-B522-45F9-BDA1-12C45D357490}">
          <x15:cacheHierarchy aggregatedColumn="3"/>
        </ext>
      </extLst>
    </cacheHierarchy>
    <cacheHierarchy uniqueName="[Measures].[Sum of Units]" caption="Sum of Units" measure="1" displayFolder="" measureGroup="data1" count="0">
      <extLst>
        <ext xmlns:x15="http://schemas.microsoft.com/office/spreadsheetml/2010/11/main" uri="{B97F6D7D-B522-45F9-BDA1-12C45D357490}">
          <x15:cacheHierarchy aggregatedColumn="4"/>
        </ext>
      </extLst>
    </cacheHierarchy>
    <cacheHierarchy uniqueName="[Measures].[Sum of Cost]" caption="Sum of Cost" measure="1" displayFolder="" measureGroup="data1"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1" count="0"/>
    <cacheHierarchy uniqueName="[Measures].[Total Profit]" caption="Total Profit" measure="1" displayFolder="" measureGroup="data1" count="0" oneField="1">
      <fieldsUsage count="1">
        <fieldUsage x="1"/>
      </fieldsUsage>
    </cacheHierarchy>
    <cacheHierarchy uniqueName="[Measures].[Profit Percent]" caption="Profit Percent" measure="1" displayFolder="" measureGroup="data1" count="0"/>
    <cacheHierarchy uniqueName="[Measures].[__XL_Count data1]" caption="__XL_Count data1" measure="1" displayFolder="" measureGroup="data1" count="0" hidden="1"/>
    <cacheHierarchy uniqueName="[Measures].[__No measures defined]" caption="__No measures defined" measure="1" displayFolder="" count="0" hidden="1"/>
  </cacheHierarchies>
  <kpis count="0"/>
  <dimensions count="2">
    <dimension name="data1" uniqueName="[data1]" caption="data1"/>
    <dimension measure="1" name="Measures" uniqueName="[Measures]" caption="Measures"/>
  </dimensions>
  <measureGroups count="1">
    <measureGroup name="data1" caption="data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odha kapali" refreshedDate="46009.862007870368" backgroundQuery="1" createdVersion="3" refreshedVersion="8" minRefreshableVersion="3" recordCount="0" supportSubquery="1" supportAdvancedDrill="1" xr:uid="{16B86B5E-CA61-49CF-A7AB-236E82023294}">
  <cacheSource type="external" connectionId="1">
    <extLst>
      <ext xmlns:x14="http://schemas.microsoft.com/office/spreadsheetml/2009/9/main" uri="{F057638F-6D5F-4e77-A914-E7F072B9BCA8}">
        <x14:sourceConnection name="ThisWorkbookDataModel"/>
      </ext>
    </extLst>
  </cacheSource>
  <cacheFields count="0"/>
  <cacheHierarchies count="14">
    <cacheHierarchy uniqueName="[data1].[Sales Person]" caption="Sales Person" attribute="1" defaultMemberUniqueName="[data1].[Sales Person].[All]" allUniqueName="[data1].[Sales Person].[All]" dimensionUniqueName="[data1]" displayFolder="" count="0" memberValueDatatype="130" unbalanced="0"/>
    <cacheHierarchy uniqueName="[data1].[Geography]" caption="Geography" attribute="1" defaultMemberUniqueName="[data1].[Geography].[All]" allUniqueName="[data1].[Geography].[All]" dimensionUniqueName="[data1]" displayFolder="" count="2" memberValueDatatype="130" unbalanced="0"/>
    <cacheHierarchy uniqueName="[data1].[Product]" caption="Product" attribute="1" defaultMemberUniqueName="[data1].[Product].[All]" allUniqueName="[data1].[Product].[All]" dimensionUniqueName="[data1]" displayFolder="" count="0" memberValueDatatype="130" unbalanced="0"/>
    <cacheHierarchy uniqueName="[data1].[Amount]" caption="Amount" attribute="1" defaultMemberUniqueName="[data1].[Amount].[All]" allUniqueName="[data1].[Amount].[All]" dimensionUniqueName="[data1]" displayFolder="" count="0" memberValueDatatype="20" unbalanced="0"/>
    <cacheHierarchy uniqueName="[data1].[Units]" caption="Units" attribute="1" defaultMemberUniqueName="[data1].[Units].[All]" allUniqueName="[data1].[Units].[All]" dimensionUniqueName="[data1]" displayFolder="" count="0" memberValueDatatype="20" unbalanced="0"/>
    <cacheHierarchy uniqueName="[data1].[Cost per unit]" caption="Cost per unit" attribute="1" defaultMemberUniqueName="[data1].[Cost per unit].[All]" allUniqueName="[data1].[Cost per unit].[All]" dimensionUniqueName="[data1]" displayFolder="" count="0" memberValueDatatype="5" unbalanced="0"/>
    <cacheHierarchy uniqueName="[data1].[Cost]" caption="Cost" attribute="1" defaultMemberUniqueName="[data1].[Cost].[All]" allUniqueName="[data1].[Cost].[All]" dimensionUniqueName="[data1]" displayFolder="" count="0" memberValueDatatype="5" unbalanced="0"/>
    <cacheHierarchy uniqueName="[Measures].[Sum of Amount]" caption="Sum of Amount" measure="1" displayFolder="" measureGroup="data1" count="0">
      <extLst>
        <ext xmlns:x15="http://schemas.microsoft.com/office/spreadsheetml/2010/11/main" uri="{B97F6D7D-B522-45F9-BDA1-12C45D357490}">
          <x15:cacheHierarchy aggregatedColumn="3"/>
        </ext>
      </extLst>
    </cacheHierarchy>
    <cacheHierarchy uniqueName="[Measures].[Sum of Units]" caption="Sum of Units" measure="1" displayFolder="" measureGroup="data1" count="0">
      <extLst>
        <ext xmlns:x15="http://schemas.microsoft.com/office/spreadsheetml/2010/11/main" uri="{B97F6D7D-B522-45F9-BDA1-12C45D357490}">
          <x15:cacheHierarchy aggregatedColumn="4"/>
        </ext>
      </extLst>
    </cacheHierarchy>
    <cacheHierarchy uniqueName="[Measures].[Sum of Cost]" caption="Sum of Cost" measure="1" displayFolder="" measureGroup="data1"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1" count="0"/>
    <cacheHierarchy uniqueName="[Measures].[Total Profit]" caption="Total Profit" measure="1" displayFolder="" measureGroup="data1" count="0"/>
    <cacheHierarchy uniqueName="[Measures].[__XL_Count data1]" caption="__XL_Count data1" measure="1" displayFolder="" measureGroup="data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2704637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x v="0"/>
    <n v="5586"/>
    <n v="525"/>
  </r>
  <r>
    <x v="1"/>
    <x v="1"/>
    <x v="1"/>
    <n v="798"/>
    <n v="519"/>
  </r>
  <r>
    <x v="2"/>
    <x v="0"/>
    <x v="2"/>
    <n v="819"/>
    <n v="510"/>
  </r>
  <r>
    <x v="3"/>
    <x v="2"/>
    <x v="3"/>
    <n v="7777"/>
    <n v="504"/>
  </r>
  <r>
    <x v="4"/>
    <x v="2"/>
    <x v="4"/>
    <n v="8463"/>
    <n v="492"/>
  </r>
  <r>
    <x v="1"/>
    <x v="3"/>
    <x v="5"/>
    <n v="1785"/>
    <n v="462"/>
  </r>
  <r>
    <x v="2"/>
    <x v="4"/>
    <x v="3"/>
    <n v="6706"/>
    <n v="459"/>
  </r>
  <r>
    <x v="5"/>
    <x v="5"/>
    <x v="6"/>
    <n v="3556"/>
    <n v="459"/>
  </r>
  <r>
    <x v="5"/>
    <x v="2"/>
    <x v="7"/>
    <n v="8008"/>
    <n v="456"/>
  </r>
  <r>
    <x v="6"/>
    <x v="4"/>
    <x v="8"/>
    <n v="2275"/>
    <n v="447"/>
  </r>
  <r>
    <x v="6"/>
    <x v="4"/>
    <x v="9"/>
    <n v="8869"/>
    <n v="432"/>
  </r>
  <r>
    <x v="5"/>
    <x v="3"/>
    <x v="5"/>
    <n v="2100"/>
    <n v="414"/>
  </r>
  <r>
    <x v="5"/>
    <x v="5"/>
    <x v="10"/>
    <n v="1904"/>
    <n v="405"/>
  </r>
  <r>
    <x v="5"/>
    <x v="4"/>
    <x v="11"/>
    <n v="1302"/>
    <n v="402"/>
  </r>
  <r>
    <x v="5"/>
    <x v="3"/>
    <x v="12"/>
    <n v="3052"/>
    <n v="378"/>
  </r>
  <r>
    <x v="6"/>
    <x v="4"/>
    <x v="13"/>
    <n v="6853"/>
    <n v="372"/>
  </r>
  <r>
    <x v="7"/>
    <x v="2"/>
    <x v="0"/>
    <n v="1932"/>
    <n v="369"/>
  </r>
  <r>
    <x v="5"/>
    <x v="2"/>
    <x v="8"/>
    <n v="3402"/>
    <n v="366"/>
  </r>
  <r>
    <x v="3"/>
    <x v="5"/>
    <x v="11"/>
    <n v="938"/>
    <n v="366"/>
  </r>
  <r>
    <x v="2"/>
    <x v="4"/>
    <x v="4"/>
    <n v="2702"/>
    <n v="363"/>
  </r>
  <r>
    <x v="8"/>
    <x v="4"/>
    <x v="12"/>
    <n v="4480"/>
    <n v="357"/>
  </r>
  <r>
    <x v="1"/>
    <x v="0"/>
    <x v="14"/>
    <n v="4326"/>
    <n v="348"/>
  </r>
  <r>
    <x v="8"/>
    <x v="1"/>
    <x v="15"/>
    <n v="3339"/>
    <n v="348"/>
  </r>
  <r>
    <x v="0"/>
    <x v="1"/>
    <x v="12"/>
    <n v="2471"/>
    <n v="342"/>
  </r>
  <r>
    <x v="8"/>
    <x v="2"/>
    <x v="4"/>
    <n v="15610"/>
    <n v="339"/>
  </r>
  <r>
    <x v="7"/>
    <x v="5"/>
    <x v="10"/>
    <n v="4487"/>
    <n v="333"/>
  </r>
  <r>
    <x v="3"/>
    <x v="5"/>
    <x v="6"/>
    <n v="7308"/>
    <n v="327"/>
  </r>
  <r>
    <x v="3"/>
    <x v="5"/>
    <x v="12"/>
    <n v="4592"/>
    <n v="324"/>
  </r>
  <r>
    <x v="7"/>
    <x v="0"/>
    <x v="8"/>
    <n v="10129"/>
    <n v="312"/>
  </r>
  <r>
    <x v="3"/>
    <x v="2"/>
    <x v="6"/>
    <n v="3689"/>
    <n v="312"/>
  </r>
  <r>
    <x v="9"/>
    <x v="1"/>
    <x v="6"/>
    <n v="854"/>
    <n v="309"/>
  </r>
  <r>
    <x v="4"/>
    <x v="3"/>
    <x v="16"/>
    <n v="3920"/>
    <n v="306"/>
  </r>
  <r>
    <x v="6"/>
    <x v="1"/>
    <x v="1"/>
    <n v="3164"/>
    <n v="306"/>
  </r>
  <r>
    <x v="3"/>
    <x v="4"/>
    <x v="9"/>
    <n v="819"/>
    <n v="306"/>
  </r>
  <r>
    <x v="3"/>
    <x v="0"/>
    <x v="7"/>
    <n v="8841"/>
    <n v="303"/>
  </r>
  <r>
    <x v="0"/>
    <x v="1"/>
    <x v="3"/>
    <n v="6657"/>
    <n v="303"/>
  </r>
  <r>
    <x v="1"/>
    <x v="4"/>
    <x v="15"/>
    <n v="1589"/>
    <n v="303"/>
  </r>
  <r>
    <x v="2"/>
    <x v="4"/>
    <x v="1"/>
    <n v="4753"/>
    <n v="300"/>
  </r>
  <r>
    <x v="7"/>
    <x v="1"/>
    <x v="17"/>
    <n v="2870"/>
    <n v="300"/>
  </r>
  <r>
    <x v="6"/>
    <x v="0"/>
    <x v="2"/>
    <n v="5670"/>
    <n v="297"/>
  </r>
  <r>
    <x v="9"/>
    <x v="1"/>
    <x v="18"/>
    <n v="9632"/>
    <n v="288"/>
  </r>
  <r>
    <x v="7"/>
    <x v="4"/>
    <x v="6"/>
    <n v="5194"/>
    <n v="288"/>
  </r>
  <r>
    <x v="2"/>
    <x v="2"/>
    <x v="14"/>
    <n v="3507"/>
    <n v="288"/>
  </r>
  <r>
    <x v="0"/>
    <x v="5"/>
    <x v="19"/>
    <n v="245"/>
    <n v="288"/>
  </r>
  <r>
    <x v="5"/>
    <x v="0"/>
    <x v="1"/>
    <n v="1134"/>
    <n v="282"/>
  </r>
  <r>
    <x v="0"/>
    <x v="3"/>
    <x v="19"/>
    <n v="4858"/>
    <n v="279"/>
  </r>
  <r>
    <x v="0"/>
    <x v="4"/>
    <x v="18"/>
    <n v="3808"/>
    <n v="279"/>
  </r>
  <r>
    <x v="3"/>
    <x v="2"/>
    <x v="0"/>
    <n v="7259"/>
    <n v="276"/>
  </r>
  <r>
    <x v="3"/>
    <x v="4"/>
    <x v="20"/>
    <n v="6657"/>
    <n v="276"/>
  </r>
  <r>
    <x v="4"/>
    <x v="5"/>
    <x v="12"/>
    <n v="1085"/>
    <n v="273"/>
  </r>
  <r>
    <x v="7"/>
    <x v="0"/>
    <x v="18"/>
    <n v="1778"/>
    <n v="270"/>
  </r>
  <r>
    <x v="5"/>
    <x v="4"/>
    <x v="4"/>
    <n v="1071"/>
    <n v="270"/>
  </r>
  <r>
    <x v="0"/>
    <x v="1"/>
    <x v="21"/>
    <n v="2317"/>
    <n v="261"/>
  </r>
  <r>
    <x v="7"/>
    <x v="0"/>
    <x v="6"/>
    <n v="5677"/>
    <n v="258"/>
  </r>
  <r>
    <x v="3"/>
    <x v="4"/>
    <x v="0"/>
    <n v="2415"/>
    <n v="255"/>
  </r>
  <r>
    <x v="7"/>
    <x v="4"/>
    <x v="8"/>
    <n v="6755"/>
    <n v="252"/>
  </r>
  <r>
    <x v="7"/>
    <x v="1"/>
    <x v="12"/>
    <n v="5551"/>
    <n v="252"/>
  </r>
  <r>
    <x v="8"/>
    <x v="3"/>
    <x v="18"/>
    <n v="385"/>
    <n v="249"/>
  </r>
  <r>
    <x v="8"/>
    <x v="4"/>
    <x v="14"/>
    <n v="4753"/>
    <n v="246"/>
  </r>
  <r>
    <x v="7"/>
    <x v="3"/>
    <x v="15"/>
    <n v="4438"/>
    <n v="246"/>
  </r>
  <r>
    <x v="1"/>
    <x v="1"/>
    <x v="14"/>
    <n v="3094"/>
    <n v="246"/>
  </r>
  <r>
    <x v="4"/>
    <x v="5"/>
    <x v="7"/>
    <n v="2856"/>
    <n v="246"/>
  </r>
  <r>
    <x v="4"/>
    <x v="4"/>
    <x v="20"/>
    <n v="7833"/>
    <n v="243"/>
  </r>
  <r>
    <x v="7"/>
    <x v="4"/>
    <x v="17"/>
    <n v="4585"/>
    <n v="240"/>
  </r>
  <r>
    <x v="9"/>
    <x v="5"/>
    <x v="8"/>
    <n v="1526"/>
    <n v="240"/>
  </r>
  <r>
    <x v="8"/>
    <x v="2"/>
    <x v="13"/>
    <n v="6279"/>
    <n v="237"/>
  </r>
  <r>
    <x v="6"/>
    <x v="4"/>
    <x v="3"/>
    <n v="12348"/>
    <n v="234"/>
  </r>
  <r>
    <x v="3"/>
    <x v="4"/>
    <x v="5"/>
    <n v="2464"/>
    <n v="234"/>
  </r>
  <r>
    <x v="2"/>
    <x v="0"/>
    <x v="21"/>
    <n v="1701"/>
    <n v="234"/>
  </r>
  <r>
    <x v="9"/>
    <x v="1"/>
    <x v="2"/>
    <n v="10311"/>
    <n v="231"/>
  </r>
  <r>
    <x v="9"/>
    <x v="5"/>
    <x v="20"/>
    <n v="714"/>
    <n v="231"/>
  </r>
  <r>
    <x v="0"/>
    <x v="4"/>
    <x v="19"/>
    <n v="567"/>
    <n v="228"/>
  </r>
  <r>
    <x v="7"/>
    <x v="5"/>
    <x v="0"/>
    <n v="6608"/>
    <n v="225"/>
  </r>
  <r>
    <x v="6"/>
    <x v="3"/>
    <x v="6"/>
    <n v="3101"/>
    <n v="225"/>
  </r>
  <r>
    <x v="9"/>
    <x v="2"/>
    <x v="10"/>
    <n v="1274"/>
    <n v="225"/>
  </r>
  <r>
    <x v="2"/>
    <x v="2"/>
    <x v="10"/>
    <n v="2009"/>
    <n v="219"/>
  </r>
  <r>
    <x v="9"/>
    <x v="4"/>
    <x v="6"/>
    <n v="7455"/>
    <n v="216"/>
  </r>
  <r>
    <x v="1"/>
    <x v="3"/>
    <x v="19"/>
    <n v="7651"/>
    <n v="213"/>
  </r>
  <r>
    <x v="2"/>
    <x v="0"/>
    <x v="3"/>
    <n v="3752"/>
    <n v="213"/>
  </r>
  <r>
    <x v="2"/>
    <x v="3"/>
    <x v="14"/>
    <n v="8890"/>
    <n v="210"/>
  </r>
  <r>
    <x v="2"/>
    <x v="4"/>
    <x v="13"/>
    <n v="5012"/>
    <n v="210"/>
  </r>
  <r>
    <x v="7"/>
    <x v="5"/>
    <x v="13"/>
    <n v="9835"/>
    <n v="207"/>
  </r>
  <r>
    <x v="5"/>
    <x v="2"/>
    <x v="1"/>
    <n v="4242"/>
    <n v="207"/>
  </r>
  <r>
    <x v="4"/>
    <x v="5"/>
    <x v="11"/>
    <n v="259"/>
    <n v="207"/>
  </r>
  <r>
    <x v="4"/>
    <x v="1"/>
    <x v="1"/>
    <n v="11522"/>
    <n v="204"/>
  </r>
  <r>
    <x v="0"/>
    <x v="2"/>
    <x v="17"/>
    <n v="5355"/>
    <n v="204"/>
  </r>
  <r>
    <x v="4"/>
    <x v="3"/>
    <x v="18"/>
    <n v="2639"/>
    <n v="204"/>
  </r>
  <r>
    <x v="2"/>
    <x v="5"/>
    <x v="17"/>
    <n v="1771"/>
    <n v="204"/>
  </r>
  <r>
    <x v="9"/>
    <x v="1"/>
    <x v="7"/>
    <n v="98"/>
    <n v="204"/>
  </r>
  <r>
    <x v="8"/>
    <x v="4"/>
    <x v="20"/>
    <n v="13391"/>
    <n v="201"/>
  </r>
  <r>
    <x v="1"/>
    <x v="5"/>
    <x v="15"/>
    <n v="9926"/>
    <n v="201"/>
  </r>
  <r>
    <x v="8"/>
    <x v="2"/>
    <x v="20"/>
    <n v="7280"/>
    <n v="201"/>
  </r>
  <r>
    <x v="6"/>
    <x v="1"/>
    <x v="2"/>
    <n v="4424"/>
    <n v="201"/>
  </r>
  <r>
    <x v="7"/>
    <x v="3"/>
    <x v="1"/>
    <n v="966"/>
    <n v="198"/>
  </r>
  <r>
    <x v="0"/>
    <x v="4"/>
    <x v="4"/>
    <n v="1974"/>
    <n v="195"/>
  </r>
  <r>
    <x v="2"/>
    <x v="5"/>
    <x v="13"/>
    <n v="1890"/>
    <n v="195"/>
  </r>
  <r>
    <x v="8"/>
    <x v="2"/>
    <x v="17"/>
    <n v="861"/>
    <n v="195"/>
  </r>
  <r>
    <x v="9"/>
    <x v="1"/>
    <x v="17"/>
    <n v="1925"/>
    <n v="192"/>
  </r>
  <r>
    <x v="7"/>
    <x v="2"/>
    <x v="16"/>
    <n v="8862"/>
    <n v="189"/>
  </r>
  <r>
    <x v="5"/>
    <x v="5"/>
    <x v="21"/>
    <n v="4949"/>
    <n v="189"/>
  </r>
  <r>
    <x v="4"/>
    <x v="1"/>
    <x v="3"/>
    <n v="2954"/>
    <n v="189"/>
  </r>
  <r>
    <x v="4"/>
    <x v="2"/>
    <x v="10"/>
    <n v="938"/>
    <n v="189"/>
  </r>
  <r>
    <x v="9"/>
    <x v="4"/>
    <x v="20"/>
    <n v="2114"/>
    <n v="186"/>
  </r>
  <r>
    <x v="2"/>
    <x v="3"/>
    <x v="8"/>
    <n v="7021"/>
    <n v="183"/>
  </r>
  <r>
    <x v="1"/>
    <x v="0"/>
    <x v="6"/>
    <n v="6580"/>
    <n v="183"/>
  </r>
  <r>
    <x v="5"/>
    <x v="4"/>
    <x v="1"/>
    <n v="3864"/>
    <n v="177"/>
  </r>
  <r>
    <x v="7"/>
    <x v="1"/>
    <x v="18"/>
    <n v="2646"/>
    <n v="177"/>
  </r>
  <r>
    <x v="9"/>
    <x v="5"/>
    <x v="7"/>
    <n v="2324"/>
    <n v="177"/>
  </r>
  <r>
    <x v="9"/>
    <x v="2"/>
    <x v="9"/>
    <n v="7847"/>
    <n v="174"/>
  </r>
  <r>
    <x v="9"/>
    <x v="1"/>
    <x v="8"/>
    <n v="6118"/>
    <n v="174"/>
  </r>
  <r>
    <x v="6"/>
    <x v="4"/>
    <x v="10"/>
    <n v="4725"/>
    <n v="174"/>
  </r>
  <r>
    <x v="4"/>
    <x v="2"/>
    <x v="15"/>
    <n v="707"/>
    <n v="174"/>
  </r>
  <r>
    <x v="3"/>
    <x v="3"/>
    <x v="7"/>
    <n v="4956"/>
    <n v="171"/>
  </r>
  <r>
    <x v="8"/>
    <x v="3"/>
    <x v="16"/>
    <n v="4018"/>
    <n v="171"/>
  </r>
  <r>
    <x v="8"/>
    <x v="0"/>
    <x v="17"/>
    <n v="5474"/>
    <n v="168"/>
  </r>
  <r>
    <x v="2"/>
    <x v="4"/>
    <x v="12"/>
    <n v="2023"/>
    <n v="168"/>
  </r>
  <r>
    <x v="3"/>
    <x v="3"/>
    <x v="10"/>
    <n v="21"/>
    <n v="168"/>
  </r>
  <r>
    <x v="3"/>
    <x v="1"/>
    <x v="21"/>
    <n v="3773"/>
    <n v="165"/>
  </r>
  <r>
    <x v="1"/>
    <x v="3"/>
    <x v="4"/>
    <n v="9443"/>
    <n v="162"/>
  </r>
  <r>
    <x v="6"/>
    <x v="2"/>
    <x v="17"/>
    <n v="4018"/>
    <n v="162"/>
  </r>
  <r>
    <x v="3"/>
    <x v="1"/>
    <x v="6"/>
    <n v="973"/>
    <n v="162"/>
  </r>
  <r>
    <x v="6"/>
    <x v="2"/>
    <x v="9"/>
    <n v="3794"/>
    <n v="159"/>
  </r>
  <r>
    <x v="4"/>
    <x v="4"/>
    <x v="7"/>
    <n v="98"/>
    <n v="159"/>
  </r>
  <r>
    <x v="6"/>
    <x v="2"/>
    <x v="15"/>
    <n v="5019"/>
    <n v="156"/>
  </r>
  <r>
    <x v="5"/>
    <x v="1"/>
    <x v="15"/>
    <n v="4970"/>
    <n v="156"/>
  </r>
  <r>
    <x v="4"/>
    <x v="5"/>
    <x v="5"/>
    <n v="4305"/>
    <n v="156"/>
  </r>
  <r>
    <x v="1"/>
    <x v="0"/>
    <x v="21"/>
    <n v="4417"/>
    <n v="153"/>
  </r>
  <r>
    <x v="4"/>
    <x v="2"/>
    <x v="6"/>
    <n v="14329"/>
    <n v="150"/>
  </r>
  <r>
    <x v="2"/>
    <x v="1"/>
    <x v="21"/>
    <n v="5019"/>
    <n v="150"/>
  </r>
  <r>
    <x v="5"/>
    <x v="2"/>
    <x v="15"/>
    <n v="3759"/>
    <n v="150"/>
  </r>
  <r>
    <x v="2"/>
    <x v="5"/>
    <x v="8"/>
    <n v="42"/>
    <n v="150"/>
  </r>
  <r>
    <x v="4"/>
    <x v="4"/>
    <x v="11"/>
    <n v="959"/>
    <n v="147"/>
  </r>
  <r>
    <x v="1"/>
    <x v="3"/>
    <x v="6"/>
    <n v="6027"/>
    <n v="144"/>
  </r>
  <r>
    <x v="3"/>
    <x v="5"/>
    <x v="15"/>
    <n v="3983"/>
    <n v="144"/>
  </r>
  <r>
    <x v="4"/>
    <x v="4"/>
    <x v="1"/>
    <n v="2429"/>
    <n v="144"/>
  </r>
  <r>
    <x v="9"/>
    <x v="2"/>
    <x v="13"/>
    <n v="336"/>
    <n v="144"/>
  </r>
  <r>
    <x v="0"/>
    <x v="0"/>
    <x v="13"/>
    <n v="2205"/>
    <n v="141"/>
  </r>
  <r>
    <x v="1"/>
    <x v="3"/>
    <x v="13"/>
    <n v="1568"/>
    <n v="141"/>
  </r>
  <r>
    <x v="1"/>
    <x v="5"/>
    <x v="18"/>
    <n v="11571"/>
    <n v="138"/>
  </r>
  <r>
    <x v="7"/>
    <x v="2"/>
    <x v="4"/>
    <n v="2205"/>
    <n v="138"/>
  </r>
  <r>
    <x v="6"/>
    <x v="2"/>
    <x v="1"/>
    <n v="2289"/>
    <n v="135"/>
  </r>
  <r>
    <x v="5"/>
    <x v="1"/>
    <x v="12"/>
    <n v="1400"/>
    <n v="135"/>
  </r>
  <r>
    <x v="5"/>
    <x v="0"/>
    <x v="9"/>
    <n v="959"/>
    <n v="135"/>
  </r>
  <r>
    <x v="6"/>
    <x v="3"/>
    <x v="12"/>
    <n v="0"/>
    <n v="135"/>
  </r>
  <r>
    <x v="9"/>
    <x v="4"/>
    <x v="1"/>
    <n v="847"/>
    <n v="129"/>
  </r>
  <r>
    <x v="0"/>
    <x v="0"/>
    <x v="11"/>
    <n v="6860"/>
    <n v="126"/>
  </r>
  <r>
    <x v="9"/>
    <x v="2"/>
    <x v="21"/>
    <n v="4935"/>
    <n v="126"/>
  </r>
  <r>
    <x v="1"/>
    <x v="3"/>
    <x v="9"/>
    <n v="4018"/>
    <n v="126"/>
  </r>
  <r>
    <x v="6"/>
    <x v="4"/>
    <x v="12"/>
    <n v="1617"/>
    <n v="126"/>
  </r>
  <r>
    <x v="2"/>
    <x v="4"/>
    <x v="9"/>
    <n v="357"/>
    <n v="126"/>
  </r>
  <r>
    <x v="5"/>
    <x v="2"/>
    <x v="3"/>
    <n v="6734"/>
    <n v="123"/>
  </r>
  <r>
    <x v="5"/>
    <x v="4"/>
    <x v="8"/>
    <n v="4781"/>
    <n v="123"/>
  </r>
  <r>
    <x v="9"/>
    <x v="5"/>
    <x v="4"/>
    <n v="3388"/>
    <n v="123"/>
  </r>
  <r>
    <x v="5"/>
    <x v="0"/>
    <x v="2"/>
    <n v="2317"/>
    <n v="123"/>
  </r>
  <r>
    <x v="0"/>
    <x v="0"/>
    <x v="2"/>
    <n v="63"/>
    <n v="123"/>
  </r>
  <r>
    <x v="5"/>
    <x v="1"/>
    <x v="11"/>
    <n v="10073"/>
    <n v="120"/>
  </r>
  <r>
    <x v="1"/>
    <x v="2"/>
    <x v="17"/>
    <n v="7511"/>
    <n v="120"/>
  </r>
  <r>
    <x v="4"/>
    <x v="0"/>
    <x v="10"/>
    <n v="2646"/>
    <n v="120"/>
  </r>
  <r>
    <x v="3"/>
    <x v="2"/>
    <x v="21"/>
    <n v="2212"/>
    <n v="117"/>
  </r>
  <r>
    <x v="7"/>
    <x v="1"/>
    <x v="14"/>
    <n v="2149"/>
    <n v="117"/>
  </r>
  <r>
    <x v="1"/>
    <x v="3"/>
    <x v="10"/>
    <n v="2016"/>
    <n v="117"/>
  </r>
  <r>
    <x v="7"/>
    <x v="4"/>
    <x v="16"/>
    <n v="2793"/>
    <n v="114"/>
  </r>
  <r>
    <x v="4"/>
    <x v="1"/>
    <x v="5"/>
    <n v="2142"/>
    <n v="114"/>
  </r>
  <r>
    <x v="6"/>
    <x v="5"/>
    <x v="8"/>
    <n v="1624"/>
    <n v="114"/>
  </r>
  <r>
    <x v="7"/>
    <x v="5"/>
    <x v="15"/>
    <n v="4487"/>
    <n v="111"/>
  </r>
  <r>
    <x v="8"/>
    <x v="1"/>
    <x v="8"/>
    <n v="1526"/>
    <n v="105"/>
  </r>
  <r>
    <x v="9"/>
    <x v="5"/>
    <x v="16"/>
    <n v="6398"/>
    <n v="102"/>
  </r>
  <r>
    <x v="6"/>
    <x v="0"/>
    <x v="11"/>
    <n v="6125"/>
    <n v="102"/>
  </r>
  <r>
    <x v="4"/>
    <x v="0"/>
    <x v="5"/>
    <n v="3850"/>
    <n v="102"/>
  </r>
  <r>
    <x v="8"/>
    <x v="2"/>
    <x v="12"/>
    <n v="2891"/>
    <n v="102"/>
  </r>
  <r>
    <x v="3"/>
    <x v="3"/>
    <x v="6"/>
    <n v="1652"/>
    <n v="102"/>
  </r>
  <r>
    <x v="5"/>
    <x v="5"/>
    <x v="18"/>
    <n v="1505"/>
    <n v="102"/>
  </r>
  <r>
    <x v="4"/>
    <x v="0"/>
    <x v="7"/>
    <n v="2436"/>
    <n v="99"/>
  </r>
  <r>
    <x v="9"/>
    <x v="4"/>
    <x v="17"/>
    <n v="609"/>
    <n v="99"/>
  </r>
  <r>
    <x v="4"/>
    <x v="5"/>
    <x v="4"/>
    <n v="7273"/>
    <n v="96"/>
  </r>
  <r>
    <x v="0"/>
    <x v="4"/>
    <x v="0"/>
    <n v="3472"/>
    <n v="96"/>
  </r>
  <r>
    <x v="7"/>
    <x v="2"/>
    <x v="5"/>
    <n v="1568"/>
    <n v="96"/>
  </r>
  <r>
    <x v="6"/>
    <x v="5"/>
    <x v="1"/>
    <n v="6132"/>
    <n v="93"/>
  </r>
  <r>
    <x v="3"/>
    <x v="2"/>
    <x v="15"/>
    <n v="2919"/>
    <n v="93"/>
  </r>
  <r>
    <x v="4"/>
    <x v="5"/>
    <x v="21"/>
    <n v="2737"/>
    <n v="93"/>
  </r>
  <r>
    <x v="8"/>
    <x v="2"/>
    <x v="9"/>
    <n v="1652"/>
    <n v="93"/>
  </r>
  <r>
    <x v="0"/>
    <x v="2"/>
    <x v="5"/>
    <n v="1428"/>
    <n v="93"/>
  </r>
  <r>
    <x v="6"/>
    <x v="1"/>
    <x v="9"/>
    <n v="9772"/>
    <n v="90"/>
  </r>
  <r>
    <x v="4"/>
    <x v="2"/>
    <x v="21"/>
    <n v="8155"/>
    <n v="90"/>
  </r>
  <r>
    <x v="6"/>
    <x v="0"/>
    <x v="5"/>
    <n v="2541"/>
    <n v="90"/>
  </r>
  <r>
    <x v="4"/>
    <x v="0"/>
    <x v="9"/>
    <n v="9506"/>
    <n v="87"/>
  </r>
  <r>
    <x v="5"/>
    <x v="5"/>
    <x v="14"/>
    <n v="7693"/>
    <n v="87"/>
  </r>
  <r>
    <x v="0"/>
    <x v="2"/>
    <x v="15"/>
    <n v="700"/>
    <n v="87"/>
  </r>
  <r>
    <x v="6"/>
    <x v="0"/>
    <x v="7"/>
    <n v="609"/>
    <n v="87"/>
  </r>
  <r>
    <x v="2"/>
    <x v="5"/>
    <x v="19"/>
    <n v="434"/>
    <n v="87"/>
  </r>
  <r>
    <x v="7"/>
    <x v="1"/>
    <x v="3"/>
    <n v="280"/>
    <n v="87"/>
  </r>
  <r>
    <x v="9"/>
    <x v="1"/>
    <x v="3"/>
    <n v="10304"/>
    <n v="84"/>
  </r>
  <r>
    <x v="8"/>
    <x v="4"/>
    <x v="13"/>
    <n v="490"/>
    <n v="84"/>
  </r>
  <r>
    <x v="2"/>
    <x v="0"/>
    <x v="13"/>
    <n v="168"/>
    <n v="84"/>
  </r>
  <r>
    <x v="1"/>
    <x v="3"/>
    <x v="1"/>
    <n v="7812"/>
    <n v="81"/>
  </r>
  <r>
    <x v="8"/>
    <x v="3"/>
    <x v="13"/>
    <n v="6909"/>
    <n v="81"/>
  </r>
  <r>
    <x v="2"/>
    <x v="4"/>
    <x v="8"/>
    <n v="3598"/>
    <n v="81"/>
  </r>
  <r>
    <x v="5"/>
    <x v="5"/>
    <x v="8"/>
    <n v="560"/>
    <n v="81"/>
  </r>
  <r>
    <x v="2"/>
    <x v="0"/>
    <x v="19"/>
    <n v="6433"/>
    <n v="78"/>
  </r>
  <r>
    <x v="3"/>
    <x v="4"/>
    <x v="21"/>
    <n v="2023"/>
    <n v="78"/>
  </r>
  <r>
    <x v="1"/>
    <x v="1"/>
    <x v="12"/>
    <n v="8211"/>
    <n v="75"/>
  </r>
  <r>
    <x v="5"/>
    <x v="2"/>
    <x v="12"/>
    <n v="3339"/>
    <n v="75"/>
  </r>
  <r>
    <x v="7"/>
    <x v="2"/>
    <x v="3"/>
    <n v="3262"/>
    <n v="75"/>
  </r>
  <r>
    <x v="6"/>
    <x v="2"/>
    <x v="21"/>
    <n v="2779"/>
    <n v="75"/>
  </r>
  <r>
    <x v="5"/>
    <x v="2"/>
    <x v="10"/>
    <n v="2219"/>
    <n v="75"/>
  </r>
  <r>
    <x v="7"/>
    <x v="0"/>
    <x v="0"/>
    <n v="1281"/>
    <n v="75"/>
  </r>
  <r>
    <x v="0"/>
    <x v="1"/>
    <x v="2"/>
    <n v="945"/>
    <n v="75"/>
  </r>
  <r>
    <x v="8"/>
    <x v="5"/>
    <x v="13"/>
    <n v="518"/>
    <n v="75"/>
  </r>
  <r>
    <x v="5"/>
    <x v="0"/>
    <x v="5"/>
    <n v="469"/>
    <n v="75"/>
  </r>
  <r>
    <x v="6"/>
    <x v="5"/>
    <x v="12"/>
    <n v="9002"/>
    <n v="72"/>
  </r>
  <r>
    <x v="9"/>
    <x v="3"/>
    <x v="0"/>
    <n v="3976"/>
    <n v="72"/>
  </r>
  <r>
    <x v="4"/>
    <x v="3"/>
    <x v="5"/>
    <n v="3192"/>
    <n v="72"/>
  </r>
  <r>
    <x v="0"/>
    <x v="1"/>
    <x v="1"/>
    <n v="1407"/>
    <n v="72"/>
  </r>
  <r>
    <x v="9"/>
    <x v="4"/>
    <x v="2"/>
    <n v="4760"/>
    <n v="69"/>
  </r>
  <r>
    <x v="3"/>
    <x v="4"/>
    <x v="12"/>
    <n v="2114"/>
    <n v="66"/>
  </r>
  <r>
    <x v="8"/>
    <x v="1"/>
    <x v="2"/>
    <n v="6146"/>
    <n v="63"/>
  </r>
  <r>
    <x v="7"/>
    <x v="4"/>
    <x v="0"/>
    <n v="4606"/>
    <n v="63"/>
  </r>
  <r>
    <x v="2"/>
    <x v="0"/>
    <x v="1"/>
    <n v="2268"/>
    <n v="63"/>
  </r>
  <r>
    <x v="5"/>
    <x v="3"/>
    <x v="8"/>
    <n v="1638"/>
    <n v="63"/>
  </r>
  <r>
    <x v="5"/>
    <x v="1"/>
    <x v="19"/>
    <n v="497"/>
    <n v="63"/>
  </r>
  <r>
    <x v="4"/>
    <x v="0"/>
    <x v="16"/>
    <n v="4137"/>
    <n v="60"/>
  </r>
  <r>
    <x v="4"/>
    <x v="1"/>
    <x v="8"/>
    <n v="9051"/>
    <n v="57"/>
  </r>
  <r>
    <x v="8"/>
    <x v="0"/>
    <x v="2"/>
    <n v="7189"/>
    <n v="54"/>
  </r>
  <r>
    <x v="7"/>
    <x v="5"/>
    <x v="8"/>
    <n v="6454"/>
    <n v="54"/>
  </r>
  <r>
    <x v="3"/>
    <x v="2"/>
    <x v="7"/>
    <n v="3108"/>
    <n v="54"/>
  </r>
  <r>
    <x v="5"/>
    <x v="0"/>
    <x v="14"/>
    <n v="2681"/>
    <n v="54"/>
  </r>
  <r>
    <x v="1"/>
    <x v="5"/>
    <x v="0"/>
    <n v="1057"/>
    <n v="54"/>
  </r>
  <r>
    <x v="1"/>
    <x v="2"/>
    <x v="2"/>
    <n v="252"/>
    <n v="54"/>
  </r>
  <r>
    <x v="8"/>
    <x v="3"/>
    <x v="7"/>
    <n v="5236"/>
    <n v="51"/>
  </r>
  <r>
    <x v="3"/>
    <x v="3"/>
    <x v="12"/>
    <n v="3640"/>
    <n v="51"/>
  </r>
  <r>
    <x v="6"/>
    <x v="0"/>
    <x v="16"/>
    <n v="623"/>
    <n v="51"/>
  </r>
  <r>
    <x v="1"/>
    <x v="0"/>
    <x v="2"/>
    <n v="56"/>
    <n v="51"/>
  </r>
  <r>
    <x v="6"/>
    <x v="2"/>
    <x v="7"/>
    <n v="6748"/>
    <n v="48"/>
  </r>
  <r>
    <x v="7"/>
    <x v="5"/>
    <x v="9"/>
    <n v="6391"/>
    <n v="48"/>
  </r>
  <r>
    <x v="7"/>
    <x v="2"/>
    <x v="9"/>
    <n v="2226"/>
    <n v="48"/>
  </r>
  <r>
    <x v="6"/>
    <x v="4"/>
    <x v="16"/>
    <n v="1638"/>
    <n v="48"/>
  </r>
  <r>
    <x v="5"/>
    <x v="2"/>
    <x v="11"/>
    <n v="525"/>
    <n v="48"/>
  </r>
  <r>
    <x v="1"/>
    <x v="1"/>
    <x v="15"/>
    <n v="189"/>
    <n v="48"/>
  </r>
  <r>
    <x v="8"/>
    <x v="5"/>
    <x v="14"/>
    <n v="182"/>
    <n v="48"/>
  </r>
  <r>
    <x v="8"/>
    <x v="0"/>
    <x v="5"/>
    <n v="7483"/>
    <n v="45"/>
  </r>
  <r>
    <x v="2"/>
    <x v="5"/>
    <x v="7"/>
    <n v="6279"/>
    <n v="45"/>
  </r>
  <r>
    <x v="4"/>
    <x v="5"/>
    <x v="6"/>
    <n v="2919"/>
    <n v="45"/>
  </r>
  <r>
    <x v="6"/>
    <x v="0"/>
    <x v="12"/>
    <n v="2541"/>
    <n v="45"/>
  </r>
  <r>
    <x v="7"/>
    <x v="1"/>
    <x v="13"/>
    <n v="8435"/>
    <n v="42"/>
  </r>
  <r>
    <x v="3"/>
    <x v="2"/>
    <x v="5"/>
    <n v="6300"/>
    <n v="42"/>
  </r>
  <r>
    <x v="6"/>
    <x v="3"/>
    <x v="20"/>
    <n v="5775"/>
    <n v="42"/>
  </r>
  <r>
    <x v="1"/>
    <x v="5"/>
    <x v="20"/>
    <n v="2863"/>
    <n v="42"/>
  </r>
  <r>
    <x v="8"/>
    <x v="1"/>
    <x v="10"/>
    <n v="16184"/>
    <n v="39"/>
  </r>
  <r>
    <x v="7"/>
    <x v="2"/>
    <x v="15"/>
    <n v="7777"/>
    <n v="39"/>
  </r>
  <r>
    <x v="3"/>
    <x v="1"/>
    <x v="5"/>
    <n v="3339"/>
    <n v="39"/>
  </r>
  <r>
    <x v="6"/>
    <x v="0"/>
    <x v="14"/>
    <n v="1988"/>
    <n v="39"/>
  </r>
  <r>
    <x v="9"/>
    <x v="2"/>
    <x v="15"/>
    <n v="1463"/>
    <n v="39"/>
  </r>
  <r>
    <x v="3"/>
    <x v="1"/>
    <x v="10"/>
    <n v="9198"/>
    <n v="36"/>
  </r>
  <r>
    <x v="5"/>
    <x v="0"/>
    <x v="19"/>
    <n v="7322"/>
    <n v="36"/>
  </r>
  <r>
    <x v="1"/>
    <x v="3"/>
    <x v="20"/>
    <n v="4802"/>
    <n v="36"/>
  </r>
  <r>
    <x v="1"/>
    <x v="3"/>
    <x v="21"/>
    <n v="630"/>
    <n v="36"/>
  </r>
  <r>
    <x v="6"/>
    <x v="1"/>
    <x v="11"/>
    <n v="217"/>
    <n v="36"/>
  </r>
  <r>
    <x v="0"/>
    <x v="3"/>
    <x v="9"/>
    <n v="12950"/>
    <n v="30"/>
  </r>
  <r>
    <x v="2"/>
    <x v="5"/>
    <x v="20"/>
    <n v="9709"/>
    <n v="30"/>
  </r>
  <r>
    <x v="6"/>
    <x v="3"/>
    <x v="1"/>
    <n v="6370"/>
    <n v="30"/>
  </r>
  <r>
    <x v="6"/>
    <x v="1"/>
    <x v="5"/>
    <n v="5439"/>
    <n v="30"/>
  </r>
  <r>
    <x v="0"/>
    <x v="5"/>
    <x v="21"/>
    <n v="4683"/>
    <n v="30"/>
  </r>
  <r>
    <x v="5"/>
    <x v="1"/>
    <x v="2"/>
    <n v="4319"/>
    <n v="30"/>
  </r>
  <r>
    <x v="2"/>
    <x v="3"/>
    <x v="18"/>
    <n v="9660"/>
    <n v="27"/>
  </r>
  <r>
    <x v="4"/>
    <x v="2"/>
    <x v="19"/>
    <n v="6832"/>
    <n v="27"/>
  </r>
  <r>
    <x v="5"/>
    <x v="3"/>
    <x v="15"/>
    <n v="6048"/>
    <n v="27"/>
  </r>
  <r>
    <x v="0"/>
    <x v="5"/>
    <x v="6"/>
    <n v="3059"/>
    <n v="27"/>
  </r>
  <r>
    <x v="7"/>
    <x v="4"/>
    <x v="10"/>
    <n v="2135"/>
    <n v="27"/>
  </r>
  <r>
    <x v="2"/>
    <x v="3"/>
    <x v="7"/>
    <n v="1561"/>
    <n v="27"/>
  </r>
  <r>
    <x v="0"/>
    <x v="2"/>
    <x v="13"/>
    <n v="4053"/>
    <n v="24"/>
  </r>
  <r>
    <x v="7"/>
    <x v="2"/>
    <x v="20"/>
    <n v="3829"/>
    <n v="24"/>
  </r>
  <r>
    <x v="1"/>
    <x v="1"/>
    <x v="10"/>
    <n v="11417"/>
    <n v="21"/>
  </r>
  <r>
    <x v="8"/>
    <x v="5"/>
    <x v="5"/>
    <n v="8813"/>
    <n v="21"/>
  </r>
  <r>
    <x v="6"/>
    <x v="5"/>
    <x v="17"/>
    <n v="7693"/>
    <n v="21"/>
  </r>
  <r>
    <x v="8"/>
    <x v="2"/>
    <x v="1"/>
    <n v="6986"/>
    <n v="21"/>
  </r>
  <r>
    <x v="8"/>
    <x v="0"/>
    <x v="3"/>
    <n v="5075"/>
    <n v="21"/>
  </r>
  <r>
    <x v="7"/>
    <x v="4"/>
    <x v="1"/>
    <n v="2478"/>
    <n v="21"/>
  </r>
  <r>
    <x v="9"/>
    <x v="0"/>
    <x v="5"/>
    <n v="154"/>
    <n v="21"/>
  </r>
  <r>
    <x v="3"/>
    <x v="2"/>
    <x v="4"/>
    <n v="2583"/>
    <n v="18"/>
  </r>
  <r>
    <x v="3"/>
    <x v="1"/>
    <x v="17"/>
    <n v="1281"/>
    <n v="18"/>
  </r>
  <r>
    <x v="1"/>
    <x v="5"/>
    <x v="17"/>
    <n v="238"/>
    <n v="18"/>
  </r>
  <r>
    <x v="8"/>
    <x v="1"/>
    <x v="21"/>
    <n v="6314"/>
    <n v="15"/>
  </r>
  <r>
    <x v="8"/>
    <x v="4"/>
    <x v="18"/>
    <n v="2415"/>
    <n v="15"/>
  </r>
  <r>
    <x v="5"/>
    <x v="2"/>
    <x v="20"/>
    <n v="1442"/>
    <n v="15"/>
  </r>
  <r>
    <x v="1"/>
    <x v="4"/>
    <x v="17"/>
    <n v="553"/>
    <n v="15"/>
  </r>
  <r>
    <x v="6"/>
    <x v="3"/>
    <x v="13"/>
    <n v="5817"/>
    <n v="12"/>
  </r>
  <r>
    <x v="8"/>
    <x v="5"/>
    <x v="0"/>
    <n v="4991"/>
    <n v="12"/>
  </r>
  <r>
    <x v="5"/>
    <x v="1"/>
    <x v="3"/>
    <n v="6118"/>
    <n v="9"/>
  </r>
  <r>
    <x v="0"/>
    <x v="2"/>
    <x v="7"/>
    <n v="4991"/>
    <n v="9"/>
  </r>
  <r>
    <x v="9"/>
    <x v="5"/>
    <x v="19"/>
    <n v="2933"/>
    <n v="9"/>
  </r>
  <r>
    <x v="8"/>
    <x v="4"/>
    <x v="11"/>
    <n v="2744"/>
    <n v="9"/>
  </r>
  <r>
    <x v="4"/>
    <x v="0"/>
    <x v="15"/>
    <n v="2408"/>
    <n v="9"/>
  </r>
  <r>
    <x v="5"/>
    <x v="5"/>
    <x v="7"/>
    <n v="6818"/>
    <n v="6"/>
  </r>
  <r>
    <x v="0"/>
    <x v="4"/>
    <x v="20"/>
    <n v="2562"/>
    <n v="6"/>
  </r>
  <r>
    <x v="5"/>
    <x v="0"/>
    <x v="10"/>
    <n v="938"/>
    <n v="6"/>
  </r>
  <r>
    <x v="8"/>
    <x v="1"/>
    <x v="18"/>
    <n v="6111"/>
    <n v="3"/>
  </r>
  <r>
    <x v="9"/>
    <x v="0"/>
    <x v="13"/>
    <n v="5915"/>
    <n v="3"/>
  </r>
  <r>
    <x v="1"/>
    <x v="0"/>
    <x v="11"/>
    <n v="3549"/>
    <n v="3"/>
  </r>
  <r>
    <x v="5"/>
    <x v="3"/>
    <x v="16"/>
    <n v="2989"/>
    <n v="3"/>
  </r>
  <r>
    <x v="7"/>
    <x v="5"/>
    <x v="7"/>
    <n v="5306"/>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39ED8F-9F36-48D4-BFC4-ED9CA80728CE}" name="PivotTable2" cacheId="4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D7:G13" firstHeaderRow="0" firstDataRow="1" firstDataCol="1"/>
  <pivotFields count="5">
    <pivotField showAll="0">
      <items count="11">
        <item h="1" x="1"/>
        <item h="1" x="2"/>
        <item h="1" x="9"/>
        <item h="1" x="7"/>
        <item x="5"/>
        <item h="1" x="8"/>
        <item h="1" x="3"/>
        <item h="1" x="4"/>
        <item h="1" x="0"/>
        <item h="1" x="6"/>
        <item t="default"/>
      </items>
    </pivotField>
    <pivotField axis="axisRow" showAll="0" sortType="descending">
      <items count="7">
        <item x="0"/>
        <item x="1"/>
        <item x="2"/>
        <item x="5"/>
        <item x="3"/>
        <item x="4"/>
        <item t="default"/>
      </items>
      <autoSortScope>
        <pivotArea dataOnly="0" outline="0" fieldPosition="0">
          <references count="1">
            <reference field="4294967294" count="1" selected="0">
              <x v="0"/>
            </reference>
          </references>
        </pivotArea>
      </autoSortScope>
    </pivotField>
    <pivotField showAll="0"/>
    <pivotField dataField="1" numFmtId="6" showAll="0"/>
    <pivotField dataField="1" numFmtId="3" showAll="0"/>
  </pivotFields>
  <rowFields count="1">
    <field x="1"/>
  </rowFields>
  <rowItems count="6">
    <i>
      <x v="2"/>
    </i>
    <i>
      <x v="1"/>
    </i>
    <i>
      <x v="3"/>
    </i>
    <i>
      <x v="4"/>
    </i>
    <i>
      <x/>
    </i>
    <i>
      <x v="5"/>
    </i>
  </rowItems>
  <colFields count="1">
    <field x="-2"/>
  </colFields>
  <colItems count="3">
    <i>
      <x/>
    </i>
    <i i="1">
      <x v="1"/>
    </i>
    <i i="2">
      <x v="2"/>
    </i>
  </colItems>
  <dataFields count="3">
    <dataField name="Sum of Amount" fld="3" baseField="0" baseItem="0" numFmtId="6"/>
    <dataField name=" " fld="3" baseField="0" baseItem="0" numFmtId="6"/>
    <dataField name="Sum of Units" fld="4" baseField="0" baseItem="0" numFmtId="3"/>
  </dataFields>
  <conditionalFormats count="1">
    <conditionalFormat scope="field" priority="1">
      <pivotAreas count="1">
        <pivotArea outline="0" collapsedLevelsAreSubtotals="1" fieldPosition="0">
          <references count="2">
            <reference field="4294967294" count="1" selected="0">
              <x v="1"/>
            </reference>
            <reference field="1" count="0" selected="0"/>
          </references>
        </pivotArea>
      </pivotAreas>
    </conditionalFormat>
  </conditionalFormats>
  <pivotTableStyleInfo name="PivotStyleDark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9272B9-1829-4275-A6BF-7274783FC2D9}" name="PivotTable4" cacheId="1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D13"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4"/>
    </i>
    <i>
      <x v="3"/>
    </i>
    <i>
      <x/>
    </i>
    <i>
      <x v="2"/>
    </i>
    <i>
      <x v="1"/>
    </i>
    <i t="grand">
      <x/>
    </i>
  </rowItems>
  <colItems count="1">
    <i/>
  </colItems>
  <dataFields count="1">
    <dataField fld="1" subtotal="count" baseField="0" baseItem="0"/>
  </dataFields>
  <pivotHierarchies count="1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0">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_first_excel_work.xlsx!data1">
        <x15:activeTabTopLevelEntity name="[data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9DBD2E-927B-4D02-84A3-E7687227D72F}" name="PivotTable3"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8:K21" firstHeaderRow="1" firstDataRow="1" firstDataCol="1"/>
  <pivotFields count="5">
    <pivotField axis="axisRow" showAll="0" measureFilter="1" sortType="descending">
      <items count="11">
        <item x="1"/>
        <item x="2"/>
        <item x="9"/>
        <item x="7"/>
        <item x="5"/>
        <item x="8"/>
        <item x="3"/>
        <item x="4"/>
        <item x="0"/>
        <item x="6"/>
        <item t="default"/>
      </items>
      <autoSortScope>
        <pivotArea dataOnly="0" outline="0" fieldPosition="0">
          <references count="1">
            <reference field="4294967294" count="1" selected="0">
              <x v="0"/>
            </reference>
          </references>
        </pivotArea>
      </autoSortScope>
    </pivotField>
    <pivotField axis="axisRow" showAll="0">
      <items count="7">
        <item x="0"/>
        <item x="1"/>
        <item x="2"/>
        <item x="5"/>
        <item x="3"/>
        <item x="4"/>
        <item t="default"/>
      </items>
    </pivotField>
    <pivotField showAll="0"/>
    <pivotField dataField="1" numFmtId="6" showAll="0"/>
    <pivotField numFmtId="3" showAll="0"/>
  </pivotFields>
  <rowFields count="2">
    <field x="1"/>
    <field x="0"/>
  </rowFields>
  <rowItems count="13">
    <i>
      <x/>
    </i>
    <i r="1">
      <x v="2"/>
    </i>
    <i>
      <x v="1"/>
    </i>
    <i r="1">
      <x v="1"/>
    </i>
    <i>
      <x v="2"/>
    </i>
    <i r="1">
      <x v="1"/>
    </i>
    <i>
      <x v="3"/>
    </i>
    <i r="1">
      <x v="8"/>
    </i>
    <i>
      <x v="4"/>
    </i>
    <i r="1">
      <x v="2"/>
    </i>
    <i>
      <x v="5"/>
    </i>
    <i r="1">
      <x/>
    </i>
    <i t="grand">
      <x/>
    </i>
  </rowItems>
  <colItems count="1">
    <i/>
  </colItems>
  <dataFields count="1">
    <dataField name="Sum of Amount" fld="3" baseField="0" baseItem="0" numFmtId="6"/>
  </dataFields>
  <pivotTableStyleInfo name="PivotStyleLight16" showRowHeaders="1" showColHeaders="1" showRowStripes="0" showColStripes="0" showLastColumn="1"/>
  <filters count="1">
    <filter fld="0" type="count" evalOrder="-1" id="2" iMeasureFld="0">
      <autoFilter ref="A1">
        <filterColumn colId="0">
          <top10 top="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06E41A-4DA9-49CA-AD97-738DBFDA9656}" name="PivotTable2"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8:D21" firstHeaderRow="1" firstDataRow="1" firstDataCol="1"/>
  <pivotFields count="5">
    <pivotField axis="axisRow" showAll="0" measureFilter="1" sortType="descending">
      <items count="11">
        <item x="1"/>
        <item x="2"/>
        <item x="9"/>
        <item x="7"/>
        <item x="5"/>
        <item x="8"/>
        <item x="3"/>
        <item x="4"/>
        <item x="0"/>
        <item x="6"/>
        <item t="default"/>
      </items>
      <autoSortScope>
        <pivotArea dataOnly="0" outline="0" fieldPosition="0">
          <references count="1">
            <reference field="4294967294" count="1" selected="0">
              <x v="0"/>
            </reference>
          </references>
        </pivotArea>
      </autoSortScope>
    </pivotField>
    <pivotField axis="axisRow" showAll="0">
      <items count="7">
        <item x="0"/>
        <item x="1"/>
        <item x="2"/>
        <item x="5"/>
        <item x="3"/>
        <item x="4"/>
        <item t="default"/>
      </items>
    </pivotField>
    <pivotField showAll="0"/>
    <pivotField dataField="1" numFmtId="6" showAll="0"/>
    <pivotField numFmtId="3" showAll="0"/>
  </pivotFields>
  <rowFields count="2">
    <field x="1"/>
    <field x="0"/>
  </rowFields>
  <rowItems count="13">
    <i>
      <x/>
    </i>
    <i r="1">
      <x v="5"/>
    </i>
    <i>
      <x v="1"/>
    </i>
    <i r="1">
      <x v="5"/>
    </i>
    <i>
      <x v="2"/>
    </i>
    <i r="1">
      <x v="5"/>
    </i>
    <i>
      <x v="3"/>
    </i>
    <i r="1">
      <x v="3"/>
    </i>
    <i>
      <x v="4"/>
    </i>
    <i r="1">
      <x/>
    </i>
    <i>
      <x v="5"/>
    </i>
    <i r="1">
      <x v="9"/>
    </i>
    <i t="grand">
      <x/>
    </i>
  </rowItems>
  <colItems count="1">
    <i/>
  </colItems>
  <dataFields count="1">
    <dataField name="Sum of Amount" fld="3" baseField="0" baseItem="0" numFmtId="6"/>
  </dataFields>
  <pivotTableStyleInfo name="PivotStyleLight16" showRowHeaders="1" showColHeaders="1" showRowStripes="0" showColStripes="0" showLastColumn="1"/>
  <filters count="1">
    <filter fld="0"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12B88C-A017-43D0-8231-8410A7395BD2}" name="PivotTable11" cacheId="1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D28" firstHeaderRow="1" firstDataRow="1" firstDataCol="1"/>
  <pivotFields count="3">
    <pivotField axis="axisRow" allDrilled="1" subtotalTop="0" showAll="0" defaultSubtotal="0" defaultAttributeDrillState="1">
      <items count="21">
        <item x="1"/>
        <item x="3"/>
        <item x="4"/>
        <item x="5"/>
        <item x="6"/>
        <item x="7"/>
        <item x="8"/>
        <item x="9"/>
        <item x="10"/>
        <item x="11"/>
        <item x="12"/>
        <item x="13"/>
        <item x="15"/>
        <item x="16"/>
        <item x="18"/>
        <item x="19"/>
        <item x="20"/>
        <item x="0"/>
        <item x="2"/>
        <item x="14"/>
        <item x="17"/>
      </items>
    </pivotField>
    <pivotField dataField="1" subtotalTop="0" showAll="0" defaultSubtotal="0"/>
    <pivotField allDrilled="1" subtotalTop="0" showAll="0" dataSourceSort="1" defaultSubtotal="0" defaultAttributeDrillState="1"/>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fld="1" subtotal="count" baseField="0" baseItem="0"/>
  </dataFields>
  <pivotHierarchies count="15">
    <pivotHierarchy dragToData="1"/>
    <pivotHierarchy multipleItemSelectionAllowed="1" dragToData="1">
      <members count="1" level="1">
        <member name="[data1].[Geography].&amp;[India]"/>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_first_excel_work.xlsx!data1">
        <x15:activeTabTopLevelEntity name="[data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F78976-3F28-4500-AAEB-261D8F8850BC}" name="PivotTable9" cacheId="1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G27" firstHeaderRow="0" firstDataRow="1" firstDataCol="1"/>
  <pivotFields count="6">
    <pivotField axis="axisRow" allDrilled="1" subtotalTop="0" showAll="0" sortType="ascending" defaultSubtotal="0" defaultAttributeDrillState="1">
      <items count="22">
        <item x="0"/>
        <item x="1"/>
        <item x="2"/>
        <item x="3"/>
        <item x="4"/>
        <item x="5"/>
        <item x="6"/>
        <item x="7"/>
        <item x="8"/>
        <item x="9"/>
        <item x="10"/>
        <item x="11"/>
        <item x="12"/>
        <item x="13"/>
        <item x="14"/>
        <item x="15"/>
        <item x="16"/>
        <item x="17"/>
        <item x="18"/>
        <item x="19"/>
        <item x="20"/>
        <item x="21"/>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3">
    <i>
      <x v="5"/>
    </i>
    <i>
      <x v="2"/>
    </i>
    <i>
      <x v="20"/>
    </i>
    <i>
      <x v="19"/>
    </i>
    <i>
      <x/>
    </i>
    <i>
      <x v="3"/>
    </i>
    <i>
      <x v="13"/>
    </i>
    <i>
      <x v="9"/>
    </i>
    <i>
      <x v="15"/>
    </i>
    <i>
      <x v="11"/>
    </i>
    <i>
      <x v="21"/>
    </i>
    <i>
      <x v="12"/>
    </i>
    <i>
      <x v="14"/>
    </i>
    <i>
      <x v="10"/>
    </i>
    <i>
      <x v="4"/>
    </i>
    <i>
      <x v="1"/>
    </i>
    <i>
      <x v="18"/>
    </i>
    <i>
      <x v="17"/>
    </i>
    <i>
      <x v="16"/>
    </i>
    <i>
      <x v="6"/>
    </i>
    <i>
      <x v="8"/>
    </i>
    <i>
      <x v="7"/>
    </i>
    <i t="grand">
      <x/>
    </i>
  </rowItems>
  <colFields count="1">
    <field x="-2"/>
  </colFields>
  <colItems count="4">
    <i>
      <x/>
    </i>
    <i i="1">
      <x v="1"/>
    </i>
    <i i="2">
      <x v="2"/>
    </i>
    <i i="3">
      <x v="3"/>
    </i>
  </colItems>
  <dataFields count="4">
    <dataField name="Sum of Amount" fld="1" baseField="0" baseItem="0"/>
    <dataField name="Sum of Units" fld="2" baseField="0" baseItem="0"/>
    <dataField fld="3" subtotal="count" baseField="0" baseItem="0"/>
    <dataField fld="4" subtotal="count" baseField="0" baseItem="0"/>
  </dataFields>
  <conditionalFormats count="1">
    <conditionalFormat priority="1">
      <pivotAreas count="1">
        <pivotArea type="data" outline="0" collapsedLevelsAreSubtotals="1" fieldPosition="0">
          <references count="1">
            <reference field="4294967294" count="1" selected="0">
              <x v="3"/>
            </reference>
          </references>
        </pivotArea>
      </pivotAreas>
    </conditionalFormat>
  </conditionalFormats>
  <pivotHierarchies count="1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_first_excel_work.xlsx!data1">
        <x15:activeTabTopLevelEntity name="[data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70444357-D179-46A3-AC6A-4FF0E32C88F8}" sourceName="Sales Person">
  <pivotTables>
    <pivotTable tabId="5" name="PivotTable2"/>
  </pivotTables>
  <data>
    <tabular pivotCacheId="1832660911">
      <items count="10">
        <i x="1"/>
        <i x="2"/>
        <i x="9"/>
        <i x="7"/>
        <i x="5" s="1"/>
        <i x="8"/>
        <i x="3"/>
        <i x="4"/>
        <i x="0"/>
        <i x="6"/>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FABECFCC-B2D9-4FA4-84F4-7AA6FDA5CD1F}" sourceName="[data1].[Geography]">
  <pivotTables>
    <pivotTable tabId="19" name="PivotTable11"/>
  </pivotTables>
  <data>
    <olap pivotCacheId="1727046373">
      <levels count="2">
        <level uniqueName="[data1].[Geography].[(All)]" sourceCaption="(All)" count="0"/>
        <level uniqueName="[data1].[Geography].[Geography]" sourceCaption="Geography" count="6">
          <ranges>
            <range startItem="0">
              <i n="[data1].[Geography].&amp;[Australia]" c="Australia"/>
              <i n="[data1].[Geography].&amp;[Canada]" c="Canada"/>
              <i n="[data1].[Geography].&amp;[India]" c="India"/>
              <i n="[data1].[Geography].&amp;[New Zealand]" c="New Zealand"/>
              <i n="[data1].[Geography].&amp;[UK]" c="UK"/>
              <i n="[data1].[Geography].&amp;[USA]" c="USA"/>
            </range>
          </ranges>
        </level>
      </levels>
      <selections count="1">
        <selection n="[data1].[Geography].&amp;[India]"/>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1" xr10:uid="{54F8BF29-A001-463A-9CD6-84F626CCF898}" sourceName="[data1].[Geography]">
  <pivotTables>
    <pivotTable tabId="17" name="PivotTable9"/>
  </pivotTables>
  <data>
    <olap pivotCacheId="1727046373">
      <levels count="2">
        <level uniqueName="[data1].[Geography].[(All)]" sourceCaption="(All)" count="0"/>
        <level uniqueName="[data1].[Geography].[Geography]" sourceCaption="Geography" count="6">
          <ranges>
            <range startItem="0">
              <i n="[data1].[Geography].&amp;[Australia]" c="Australia"/>
              <i n="[data1].[Geography].&amp;[Canada]" c="Canada"/>
              <i n="[data1].[Geography].&amp;[India]" c="India"/>
              <i n="[data1].[Geography].&amp;[New Zealand]" c="New Zealand"/>
              <i n="[data1].[Geography].&amp;[UK]" c="UK"/>
              <i n="[data1].[Geography].&amp;[USA]" c="USA"/>
            </range>
          </ranges>
        </level>
      </levels>
      <selections count="1">
        <selection n="[data1].[Geograph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44651F7D-CD3D-4685-9D21-6A2B7CA295D6}" cache="Slicer_Sales_Person" caption="Sales Person" columnCoun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C1EBC88E-7E4F-48D1-9F34-9161E3D63E2A}" cache="Slicer_Geography" caption="Geography"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1" xr10:uid="{E0D17056-F2FE-46F2-9E25-75A849059F23}" cache="Slicer_Geography1" caption="Geography"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AC1E92-D947-4232-891E-65555AD7A47E}" name="products" displayName="products" ref="W11:X33" totalsRowShown="0">
  <autoFilter ref="W11:X33" xr:uid="{6DAC1E92-D947-4232-891E-65555AD7A47E}"/>
  <tableColumns count="2">
    <tableColumn id="1" xr3:uid="{1B8963D1-E60F-4400-A175-651A513B826F}" name="Product"/>
    <tableColumn id="2" xr3:uid="{1798A7DA-FB9F-46D3-AA0A-B6BCA4A81AC3}" name="Cost per unit"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F9E04E1-3938-4C2B-AAA2-4D5F0D347353}" name="data1" displayName="data1" ref="C11:I311" totalsRowShown="0" headerRowDxfId="10">
  <sortState xmlns:xlrd2="http://schemas.microsoft.com/office/spreadsheetml/2017/richdata2" ref="C12:G311">
    <sortCondition descending="1" ref="G11:G311"/>
  </sortState>
  <tableColumns count="7">
    <tableColumn id="1" xr3:uid="{EEE0A580-39D9-41AC-A092-E1BB2264397C}" name="Sales Person"/>
    <tableColumn id="2" xr3:uid="{0EB4DE2B-E70F-48FC-BC7A-7C5F1A9B9345}" name="Geography"/>
    <tableColumn id="3" xr3:uid="{F90FAA6F-6CD9-4067-8A61-A30DD37F8F2F}" name="Product"/>
    <tableColumn id="4" xr3:uid="{845C7CDA-D968-448F-830E-1195165A6596}" name="Amount" dataDxfId="9"/>
    <tableColumn id="5" xr3:uid="{7817C54A-862D-40E1-91EF-106643943D40}" name="Units" dataDxfId="8"/>
    <tableColumn id="8" xr3:uid="{CBC7D61B-9A39-42CA-BFC3-5AE651E0DCD1}" name="Cost per unit" dataDxfId="1">
      <calculatedColumnFormula>_xlfn.XLOOKUP(data1[[#This Row],[Product]],products[Product],products[Cost per unit])</calculatedColumnFormula>
    </tableColumn>
    <tableColumn id="9" xr3:uid="{C846AED7-CB9F-45C9-8099-8EA4C8F3463D}" name="Cost" dataDxfId="0">
      <calculatedColumnFormula>data1[[#This Row],[Cost per unit]]*data1[[#This Row],[Units]]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D3534C7-1EB6-4A6E-ACB0-ED8C81AB5DAC}" name="data15" displayName="data15" ref="B11:F311" totalsRowShown="0" headerRowDxfId="7">
  <autoFilter ref="B11:F311" xr:uid="{3D3534C7-1EB6-4A6E-ACB0-ED8C81AB5DAC}">
    <filterColumn colId="3">
      <colorFilter dxfId="6" cellColor="0"/>
    </filterColumn>
  </autoFilter>
  <sortState xmlns:xlrd2="http://schemas.microsoft.com/office/spreadsheetml/2017/richdata2" ref="B12:F311">
    <sortCondition descending="1" ref="F11:F311"/>
  </sortState>
  <tableColumns count="5">
    <tableColumn id="1" xr3:uid="{0CFA21BA-FB8D-4F0E-81D3-CC28F681367C}" name="Sales Person"/>
    <tableColumn id="2" xr3:uid="{5D169DB6-2334-436F-B61C-807A31FE170B}" name="Geography"/>
    <tableColumn id="3" xr3:uid="{DCE165AF-417F-47BD-8439-20BDCB52E5A4}" name="Product"/>
    <tableColumn id="4" xr3:uid="{4A4F594A-59AC-47E3-AF91-09CEA2BD8410}" name="Amount" dataDxfId="5"/>
    <tableColumn id="5" xr3:uid="{3BA9BFEB-75F3-46A0-A97A-6473B53213FB}" name="Units" dataDxfId="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D56D6FD-E427-4E2B-9BBE-362CC6B830FB}" name="Table3" displayName="Table3" ref="N8:R308" totalsRowShown="0">
  <tableColumns count="5">
    <tableColumn id="1" xr3:uid="{2B4FD8E5-F5CB-4D2F-B7E1-A097F8E6F2D3}" name="Sales Person"/>
    <tableColumn id="2" xr3:uid="{4719E455-A2FE-4DB8-B713-70A25B895B6B}" name="Geography"/>
    <tableColumn id="3" xr3:uid="{95BE5599-C589-4E59-90EC-FD8574A82CB9}" name="Product"/>
    <tableColumn id="4" xr3:uid="{41D57A33-2569-4320-A67E-C6C34AB71E36}" name="Amount" dataDxfId="3"/>
    <tableColumn id="5" xr3:uid="{9E839DBB-832E-44EE-A623-A1A070B96808}" name="Uni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X658"/>
  <sheetViews>
    <sheetView showGridLines="0" topLeftCell="A368" zoomScale="125" zoomScaleNormal="145" workbookViewId="0">
      <selection activeCell="D7" sqref="D7"/>
    </sheetView>
  </sheetViews>
  <sheetFormatPr defaultRowHeight="14.4" x14ac:dyDescent="0.3"/>
  <cols>
    <col min="1" max="1" width="1.6640625" customWidth="1"/>
    <col min="2" max="2" width="3.6640625" customWidth="1"/>
    <col min="3" max="3" width="19.5546875" customWidth="1"/>
    <col min="4" max="4" width="14.6640625" customWidth="1"/>
    <col min="5" max="5" width="21.88671875" bestFit="1" customWidth="1"/>
    <col min="6" max="6" width="13.5546875" customWidth="1"/>
    <col min="7" max="7" width="11.33203125" customWidth="1"/>
    <col min="8" max="8" width="13.33203125" customWidth="1"/>
    <col min="10" max="10" width="3.88671875" customWidth="1"/>
    <col min="11" max="11" width="10" customWidth="1"/>
    <col min="12" max="12" width="20.21875" bestFit="1" customWidth="1"/>
    <col min="13" max="13" width="20.21875" customWidth="1"/>
    <col min="14" max="14" width="14" customWidth="1"/>
    <col min="23" max="23" width="14.88671875" customWidth="1"/>
    <col min="24" max="24" width="15.77734375" customWidth="1"/>
    <col min="25" max="25" width="21.88671875" bestFit="1" customWidth="1"/>
    <col min="26" max="26" width="14.44140625" customWidth="1"/>
    <col min="31" max="31" width="21.88671875" customWidth="1"/>
  </cols>
  <sheetData>
    <row r="1" spans="1:24" s="2" customFormat="1" ht="52.5" customHeight="1" x14ac:dyDescent="0.3">
      <c r="A1" s="1"/>
      <c r="C1" s="3" t="s">
        <v>83</v>
      </c>
    </row>
    <row r="7" spans="1:24" ht="18" x14ac:dyDescent="0.35">
      <c r="C7" s="56" t="s">
        <v>101</v>
      </c>
    </row>
    <row r="11" spans="1:24" x14ac:dyDescent="0.3">
      <c r="C11" s="6" t="s">
        <v>11</v>
      </c>
      <c r="D11" s="6" t="s">
        <v>12</v>
      </c>
      <c r="E11" s="6" t="s">
        <v>0</v>
      </c>
      <c r="F11" s="6" t="s">
        <v>1</v>
      </c>
      <c r="G11" s="45" t="s">
        <v>47</v>
      </c>
      <c r="H11" s="45" t="s">
        <v>48</v>
      </c>
      <c r="I11" s="48" t="s">
        <v>88</v>
      </c>
      <c r="K11" s="43" t="s">
        <v>42</v>
      </c>
      <c r="L11" s="44"/>
      <c r="M11" s="11"/>
      <c r="N11" s="11"/>
      <c r="W11" t="s">
        <v>0</v>
      </c>
      <c r="X11" t="s">
        <v>48</v>
      </c>
    </row>
    <row r="12" spans="1:24" x14ac:dyDescent="0.3">
      <c r="C12" t="s">
        <v>10</v>
      </c>
      <c r="D12" t="s">
        <v>38</v>
      </c>
      <c r="E12" t="s">
        <v>14</v>
      </c>
      <c r="F12" s="4">
        <v>5586</v>
      </c>
      <c r="G12" s="5">
        <v>525</v>
      </c>
      <c r="H12" s="47">
        <f>_xlfn.XLOOKUP(data1[[#This Row],[Product]],products[Product],products[Cost per unit])</f>
        <v>11.7</v>
      </c>
      <c r="I12" s="7">
        <f>data1[[#This Row],[Cost per unit]]*data1[[#This Row],[Units]]</f>
        <v>6142.5</v>
      </c>
      <c r="K12" s="28">
        <v>1</v>
      </c>
      <c r="L12" s="29" t="s">
        <v>43</v>
      </c>
      <c r="M12" s="11"/>
      <c r="N12" s="11"/>
      <c r="W12" t="s">
        <v>13</v>
      </c>
      <c r="X12" s="8">
        <v>9.33</v>
      </c>
    </row>
    <row r="13" spans="1:24" x14ac:dyDescent="0.3">
      <c r="C13" t="s">
        <v>2</v>
      </c>
      <c r="D13" t="s">
        <v>36</v>
      </c>
      <c r="E13" t="s">
        <v>27</v>
      </c>
      <c r="F13" s="4">
        <v>798</v>
      </c>
      <c r="G13" s="5">
        <v>519</v>
      </c>
      <c r="H13" s="47">
        <f>_xlfn.XLOOKUP(data1[[#This Row],[Product]],products[Product],products[Cost per unit])</f>
        <v>16.73</v>
      </c>
      <c r="I13" s="7">
        <f>data1[[#This Row],[Cost per unit]]*data1[[#This Row],[Units]]</f>
        <v>8682.8700000000008</v>
      </c>
      <c r="K13" s="30">
        <v>2</v>
      </c>
      <c r="L13" s="31" t="s">
        <v>49</v>
      </c>
      <c r="M13" s="11"/>
      <c r="N13" s="11"/>
      <c r="W13" t="s">
        <v>14</v>
      </c>
      <c r="X13" s="8">
        <v>11.7</v>
      </c>
    </row>
    <row r="14" spans="1:24" x14ac:dyDescent="0.3">
      <c r="C14" t="s">
        <v>8</v>
      </c>
      <c r="D14" t="s">
        <v>38</v>
      </c>
      <c r="E14" t="s">
        <v>13</v>
      </c>
      <c r="F14" s="4">
        <v>819</v>
      </c>
      <c r="G14" s="5">
        <v>510</v>
      </c>
      <c r="H14" s="47">
        <f>_xlfn.XLOOKUP(data1[[#This Row],[Product]],products[Product],products[Cost per unit])</f>
        <v>9.33</v>
      </c>
      <c r="I14" s="7">
        <f>data1[[#This Row],[Cost per unit]]*data1[[#This Row],[Units]]</f>
        <v>4758.3</v>
      </c>
      <c r="K14" s="30">
        <v>3</v>
      </c>
      <c r="L14" s="31" t="s">
        <v>44</v>
      </c>
      <c r="M14" s="11"/>
      <c r="N14" s="11"/>
      <c r="W14" t="s">
        <v>4</v>
      </c>
      <c r="X14" s="8">
        <v>11.88</v>
      </c>
    </row>
    <row r="15" spans="1:24" x14ac:dyDescent="0.3">
      <c r="C15" t="s">
        <v>3</v>
      </c>
      <c r="D15" t="s">
        <v>34</v>
      </c>
      <c r="E15" t="s">
        <v>32</v>
      </c>
      <c r="F15" s="4">
        <v>7777</v>
      </c>
      <c r="G15" s="5">
        <v>504</v>
      </c>
      <c r="H15" s="47">
        <f>_xlfn.XLOOKUP(data1[[#This Row],[Product]],products[Product],products[Cost per unit])</f>
        <v>8.65</v>
      </c>
      <c r="I15" s="7">
        <f>data1[[#This Row],[Cost per unit]]*data1[[#This Row],[Units]]</f>
        <v>4359.6000000000004</v>
      </c>
      <c r="K15" s="30">
        <v>4</v>
      </c>
      <c r="L15" s="31" t="s">
        <v>45</v>
      </c>
      <c r="M15" s="11"/>
      <c r="N15" s="11"/>
      <c r="W15" t="s">
        <v>15</v>
      </c>
      <c r="X15" s="8">
        <v>11.73</v>
      </c>
    </row>
    <row r="16" spans="1:24" x14ac:dyDescent="0.3">
      <c r="C16" t="s">
        <v>9</v>
      </c>
      <c r="D16" t="s">
        <v>34</v>
      </c>
      <c r="E16" t="s">
        <v>20</v>
      </c>
      <c r="F16" s="4">
        <v>8463</v>
      </c>
      <c r="G16" s="5">
        <v>492</v>
      </c>
      <c r="H16" s="47">
        <f>_xlfn.XLOOKUP(data1[[#This Row],[Product]],products[Product],products[Cost per unit])</f>
        <v>10.62</v>
      </c>
      <c r="I16" s="7">
        <f>data1[[#This Row],[Cost per unit]]*data1[[#This Row],[Units]]</f>
        <v>5225.04</v>
      </c>
      <c r="K16" s="30">
        <v>5</v>
      </c>
      <c r="L16" s="31" t="s">
        <v>50</v>
      </c>
      <c r="M16" s="11"/>
      <c r="N16" s="11"/>
      <c r="W16" t="s">
        <v>16</v>
      </c>
      <c r="X16" s="8">
        <v>8.7899999999999991</v>
      </c>
    </row>
    <row r="17" spans="3:24" x14ac:dyDescent="0.3">
      <c r="C17" t="s">
        <v>2</v>
      </c>
      <c r="D17" t="s">
        <v>39</v>
      </c>
      <c r="E17" t="s">
        <v>25</v>
      </c>
      <c r="F17" s="4">
        <v>1785</v>
      </c>
      <c r="G17" s="5">
        <v>462</v>
      </c>
      <c r="H17" s="47">
        <f>_xlfn.XLOOKUP(data1[[#This Row],[Product]],products[Product],products[Cost per unit])</f>
        <v>13.15</v>
      </c>
      <c r="I17" s="7">
        <f>data1[[#This Row],[Cost per unit]]*data1[[#This Row],[Units]]</f>
        <v>6075.3</v>
      </c>
      <c r="K17" s="30">
        <v>6</v>
      </c>
      <c r="L17" s="31" t="s">
        <v>51</v>
      </c>
      <c r="M17" s="11"/>
      <c r="N17" s="11"/>
      <c r="W17" t="s">
        <v>17</v>
      </c>
      <c r="X17" s="8">
        <v>3.11</v>
      </c>
    </row>
    <row r="18" spans="3:24" x14ac:dyDescent="0.3">
      <c r="C18" t="s">
        <v>8</v>
      </c>
      <c r="D18" t="s">
        <v>35</v>
      </c>
      <c r="E18" t="s">
        <v>32</v>
      </c>
      <c r="F18" s="4">
        <v>6706</v>
      </c>
      <c r="G18" s="5">
        <v>459</v>
      </c>
      <c r="H18" s="47">
        <f>_xlfn.XLOOKUP(data1[[#This Row],[Product]],products[Product],products[Cost per unit])</f>
        <v>8.65</v>
      </c>
      <c r="I18" s="7">
        <f>data1[[#This Row],[Cost per unit]]*data1[[#This Row],[Units]]</f>
        <v>3970.3500000000004</v>
      </c>
      <c r="K18" s="30">
        <v>7</v>
      </c>
      <c r="L18" s="31" t="s">
        <v>46</v>
      </c>
      <c r="M18" s="11"/>
      <c r="N18" s="11"/>
      <c r="W18" t="s">
        <v>18</v>
      </c>
      <c r="X18" s="8">
        <v>6.47</v>
      </c>
    </row>
    <row r="19" spans="3:24" x14ac:dyDescent="0.3">
      <c r="C19" t="s">
        <v>6</v>
      </c>
      <c r="D19" t="s">
        <v>37</v>
      </c>
      <c r="E19" t="s">
        <v>28</v>
      </c>
      <c r="F19" s="4">
        <v>3556</v>
      </c>
      <c r="G19" s="5">
        <v>459</v>
      </c>
      <c r="H19" s="47">
        <f>_xlfn.XLOOKUP(data1[[#This Row],[Product]],products[Product],products[Cost per unit])</f>
        <v>10.38</v>
      </c>
      <c r="I19" s="29">
        <f>data1[[#This Row],[Cost per unit]]*data1[[#This Row],[Units]]</f>
        <v>4764.42</v>
      </c>
      <c r="J19" s="11"/>
      <c r="K19" s="30">
        <v>8</v>
      </c>
      <c r="L19" s="11" t="s">
        <v>97</v>
      </c>
      <c r="M19" s="11"/>
      <c r="N19" s="11"/>
      <c r="O19" s="11"/>
      <c r="P19" s="11"/>
      <c r="Q19" s="11"/>
      <c r="R19" s="11"/>
      <c r="S19" s="11"/>
      <c r="T19" s="11"/>
      <c r="U19" s="11"/>
      <c r="W19" t="s">
        <v>19</v>
      </c>
      <c r="X19" s="8">
        <v>7.64</v>
      </c>
    </row>
    <row r="20" spans="3:24" x14ac:dyDescent="0.3">
      <c r="C20" t="s">
        <v>6</v>
      </c>
      <c r="D20" t="s">
        <v>34</v>
      </c>
      <c r="E20" t="s">
        <v>26</v>
      </c>
      <c r="F20" s="4">
        <v>8008</v>
      </c>
      <c r="G20" s="5">
        <v>456</v>
      </c>
      <c r="H20" s="47">
        <f>_xlfn.XLOOKUP(data1[[#This Row],[Product]],products[Product],products[Cost per unit])</f>
        <v>5.6</v>
      </c>
      <c r="I20" s="31">
        <f>data1[[#This Row],[Cost per unit]]*data1[[#This Row],[Units]]</f>
        <v>2553.6</v>
      </c>
      <c r="J20" s="11"/>
      <c r="K20" s="30">
        <v>9</v>
      </c>
      <c r="L20" s="31" t="s">
        <v>98</v>
      </c>
      <c r="M20" s="11"/>
      <c r="N20" s="11"/>
      <c r="W20" t="s">
        <v>20</v>
      </c>
      <c r="X20" s="8">
        <v>10.62</v>
      </c>
    </row>
    <row r="21" spans="3:24" x14ac:dyDescent="0.3">
      <c r="C21" t="s">
        <v>40</v>
      </c>
      <c r="D21" t="s">
        <v>35</v>
      </c>
      <c r="E21" t="s">
        <v>30</v>
      </c>
      <c r="F21" s="4">
        <v>2275</v>
      </c>
      <c r="G21" s="5">
        <v>447</v>
      </c>
      <c r="H21" s="47">
        <f>_xlfn.XLOOKUP(data1[[#This Row],[Product]],products[Product],products[Cost per unit])</f>
        <v>14.49</v>
      </c>
      <c r="I21" s="7">
        <f>data1[[#This Row],[Cost per unit]]*data1[[#This Row],[Units]]</f>
        <v>6477.03</v>
      </c>
      <c r="K21" s="50">
        <v>10</v>
      </c>
      <c r="L21" s="51" t="s">
        <v>99</v>
      </c>
      <c r="W21" t="s">
        <v>21</v>
      </c>
      <c r="X21" s="8">
        <v>9</v>
      </c>
    </row>
    <row r="22" spans="3:24" x14ac:dyDescent="0.3">
      <c r="C22" t="s">
        <v>40</v>
      </c>
      <c r="D22" t="s">
        <v>35</v>
      </c>
      <c r="E22" t="s">
        <v>33</v>
      </c>
      <c r="F22" s="4">
        <v>8869</v>
      </c>
      <c r="G22" s="5">
        <v>432</v>
      </c>
      <c r="H22">
        <f>_xlfn.XLOOKUP(data1[[#This Row],[Product]],products[Product],products[Cost per unit])</f>
        <v>12.37</v>
      </c>
      <c r="I22">
        <f>data1[[#This Row],[Cost per unit]]*data1[[#This Row],[Units]]</f>
        <v>5343.8399999999992</v>
      </c>
      <c r="W22" t="s">
        <v>22</v>
      </c>
      <c r="X22" s="8">
        <v>9.77</v>
      </c>
    </row>
    <row r="23" spans="3:24" x14ac:dyDescent="0.3">
      <c r="C23" t="s">
        <v>6</v>
      </c>
      <c r="D23" t="s">
        <v>39</v>
      </c>
      <c r="E23" t="s">
        <v>25</v>
      </c>
      <c r="F23" s="4">
        <v>2100</v>
      </c>
      <c r="G23" s="5">
        <v>414</v>
      </c>
      <c r="H23">
        <f>_xlfn.XLOOKUP(data1[[#This Row],[Product]],products[Product],products[Cost per unit])</f>
        <v>13.15</v>
      </c>
      <c r="I23">
        <f>data1[[#This Row],[Cost per unit]]*data1[[#This Row],[Units]]</f>
        <v>5444.1</v>
      </c>
      <c r="W23" t="s">
        <v>23</v>
      </c>
      <c r="X23" s="8">
        <v>6.49</v>
      </c>
    </row>
    <row r="24" spans="3:24" x14ac:dyDescent="0.3">
      <c r="C24" t="s">
        <v>6</v>
      </c>
      <c r="D24" t="s">
        <v>37</v>
      </c>
      <c r="E24" t="s">
        <v>16</v>
      </c>
      <c r="F24" s="4">
        <v>1904</v>
      </c>
      <c r="G24" s="5">
        <v>405</v>
      </c>
      <c r="H24">
        <f>_xlfn.XLOOKUP(data1[[#This Row],[Product]],products[Product],products[Cost per unit])</f>
        <v>8.7899999999999991</v>
      </c>
      <c r="I24">
        <f>data1[[#This Row],[Cost per unit]]*data1[[#This Row],[Units]]</f>
        <v>3559.95</v>
      </c>
      <c r="W24" t="s">
        <v>24</v>
      </c>
      <c r="X24" s="8">
        <v>4.97</v>
      </c>
    </row>
    <row r="25" spans="3:24" x14ac:dyDescent="0.3">
      <c r="C25" t="s">
        <v>6</v>
      </c>
      <c r="D25" t="s">
        <v>35</v>
      </c>
      <c r="E25" t="s">
        <v>4</v>
      </c>
      <c r="F25" s="4">
        <v>1302</v>
      </c>
      <c r="G25" s="5">
        <v>402</v>
      </c>
      <c r="H25">
        <f>_xlfn.XLOOKUP(data1[[#This Row],[Product]],products[Product],products[Cost per unit])</f>
        <v>11.88</v>
      </c>
      <c r="I25">
        <f>data1[[#This Row],[Cost per unit]]*data1[[#This Row],[Units]]</f>
        <v>4775.76</v>
      </c>
      <c r="W25" t="s">
        <v>25</v>
      </c>
      <c r="X25" s="8">
        <v>13.15</v>
      </c>
    </row>
    <row r="26" spans="3:24" x14ac:dyDescent="0.3">
      <c r="C26" t="s">
        <v>6</v>
      </c>
      <c r="D26" t="s">
        <v>39</v>
      </c>
      <c r="E26" t="s">
        <v>29</v>
      </c>
      <c r="F26" s="4">
        <v>3052</v>
      </c>
      <c r="G26" s="5">
        <v>378</v>
      </c>
      <c r="H26">
        <f>_xlfn.XLOOKUP(data1[[#This Row],[Product]],products[Product],products[Cost per unit])</f>
        <v>7.16</v>
      </c>
      <c r="I26">
        <f>data1[[#This Row],[Cost per unit]]*data1[[#This Row],[Units]]</f>
        <v>2706.48</v>
      </c>
      <c r="W26" t="s">
        <v>26</v>
      </c>
      <c r="X26" s="8">
        <v>5.6</v>
      </c>
    </row>
    <row r="27" spans="3:24" x14ac:dyDescent="0.3">
      <c r="C27" t="s">
        <v>40</v>
      </c>
      <c r="D27" t="s">
        <v>35</v>
      </c>
      <c r="E27" t="s">
        <v>22</v>
      </c>
      <c r="F27" s="4">
        <v>6853</v>
      </c>
      <c r="G27" s="5">
        <v>372</v>
      </c>
      <c r="H27">
        <f>_xlfn.XLOOKUP(data1[[#This Row],[Product]],products[Product],products[Cost per unit])</f>
        <v>9.77</v>
      </c>
      <c r="I27">
        <f>data1[[#This Row],[Cost per unit]]*data1[[#This Row],[Units]]</f>
        <v>3634.44</v>
      </c>
      <c r="K27" s="8"/>
      <c r="W27" t="s">
        <v>27</v>
      </c>
      <c r="X27" s="8">
        <v>16.73</v>
      </c>
    </row>
    <row r="28" spans="3:24" x14ac:dyDescent="0.3">
      <c r="C28" t="s">
        <v>7</v>
      </c>
      <c r="D28" t="s">
        <v>34</v>
      </c>
      <c r="E28" t="s">
        <v>14</v>
      </c>
      <c r="F28" s="4">
        <v>1932</v>
      </c>
      <c r="G28" s="5">
        <v>369</v>
      </c>
      <c r="H28">
        <f>_xlfn.XLOOKUP(data1[[#This Row],[Product]],products[Product],products[Cost per unit])</f>
        <v>11.7</v>
      </c>
      <c r="I28">
        <f>data1[[#This Row],[Cost per unit]]*data1[[#This Row],[Units]]</f>
        <v>4317.3</v>
      </c>
      <c r="K28" s="8"/>
      <c r="W28" t="s">
        <v>28</v>
      </c>
      <c r="X28" s="8">
        <v>10.38</v>
      </c>
    </row>
    <row r="29" spans="3:24" x14ac:dyDescent="0.3">
      <c r="C29" t="s">
        <v>6</v>
      </c>
      <c r="D29" t="s">
        <v>34</v>
      </c>
      <c r="E29" t="s">
        <v>30</v>
      </c>
      <c r="F29" s="4">
        <v>3402</v>
      </c>
      <c r="G29" s="5">
        <v>366</v>
      </c>
      <c r="H29">
        <f>_xlfn.XLOOKUP(data1[[#This Row],[Product]],products[Product],products[Cost per unit])</f>
        <v>14.49</v>
      </c>
      <c r="I29">
        <f>data1[[#This Row],[Cost per unit]]*data1[[#This Row],[Units]]</f>
        <v>5303.34</v>
      </c>
      <c r="K29" s="8"/>
      <c r="W29" t="s">
        <v>29</v>
      </c>
      <c r="X29" s="8">
        <v>7.16</v>
      </c>
    </row>
    <row r="30" spans="3:24" x14ac:dyDescent="0.3">
      <c r="C30" t="s">
        <v>3</v>
      </c>
      <c r="D30" t="s">
        <v>37</v>
      </c>
      <c r="E30" t="s">
        <v>4</v>
      </c>
      <c r="F30" s="4">
        <v>938</v>
      </c>
      <c r="G30" s="5">
        <v>366</v>
      </c>
      <c r="H30">
        <f>_xlfn.XLOOKUP(data1[[#This Row],[Product]],products[Product],products[Cost per unit])</f>
        <v>11.88</v>
      </c>
      <c r="I30">
        <f>data1[[#This Row],[Cost per unit]]*data1[[#This Row],[Units]]</f>
        <v>4348.08</v>
      </c>
      <c r="K30" s="8"/>
      <c r="W30" t="s">
        <v>30</v>
      </c>
      <c r="X30" s="8">
        <v>14.49</v>
      </c>
    </row>
    <row r="31" spans="3:24" x14ac:dyDescent="0.3">
      <c r="C31" t="s">
        <v>8</v>
      </c>
      <c r="D31" t="s">
        <v>35</v>
      </c>
      <c r="E31" t="s">
        <v>20</v>
      </c>
      <c r="F31" s="4">
        <v>2702</v>
      </c>
      <c r="G31" s="5">
        <v>363</v>
      </c>
      <c r="H31">
        <f>_xlfn.XLOOKUP(data1[[#This Row],[Product]],products[Product],products[Cost per unit])</f>
        <v>10.62</v>
      </c>
      <c r="I31">
        <f>data1[[#This Row],[Cost per unit]]*data1[[#This Row],[Units]]</f>
        <v>3855.0599999999995</v>
      </c>
      <c r="K31" s="8"/>
      <c r="W31" t="s">
        <v>31</v>
      </c>
      <c r="X31" s="8">
        <v>5.79</v>
      </c>
    </row>
    <row r="32" spans="3:24" x14ac:dyDescent="0.3">
      <c r="C32" t="s">
        <v>5</v>
      </c>
      <c r="D32" t="s">
        <v>35</v>
      </c>
      <c r="E32" t="s">
        <v>29</v>
      </c>
      <c r="F32" s="4">
        <v>4480</v>
      </c>
      <c r="G32" s="5">
        <v>357</v>
      </c>
      <c r="H32">
        <f>_xlfn.XLOOKUP(data1[[#This Row],[Product]],products[Product],products[Cost per unit])</f>
        <v>7.16</v>
      </c>
      <c r="I32">
        <f>data1[[#This Row],[Cost per unit]]*data1[[#This Row],[Units]]</f>
        <v>2556.12</v>
      </c>
      <c r="W32" t="s">
        <v>32</v>
      </c>
      <c r="X32" s="8">
        <v>8.65</v>
      </c>
    </row>
    <row r="33" spans="3:24" x14ac:dyDescent="0.3">
      <c r="C33" t="s">
        <v>2</v>
      </c>
      <c r="D33" t="s">
        <v>38</v>
      </c>
      <c r="E33" t="s">
        <v>31</v>
      </c>
      <c r="F33" s="4">
        <v>4326</v>
      </c>
      <c r="G33" s="5">
        <v>348</v>
      </c>
      <c r="H33">
        <f>_xlfn.XLOOKUP(data1[[#This Row],[Product]],products[Product],products[Cost per unit])</f>
        <v>5.79</v>
      </c>
      <c r="I33">
        <f>data1[[#This Row],[Cost per unit]]*data1[[#This Row],[Units]]</f>
        <v>2014.92</v>
      </c>
      <c r="K33" s="8"/>
      <c r="W33" t="s">
        <v>33</v>
      </c>
      <c r="X33" s="8">
        <v>12.37</v>
      </c>
    </row>
    <row r="34" spans="3:24" x14ac:dyDescent="0.3">
      <c r="C34" t="s">
        <v>5</v>
      </c>
      <c r="D34" t="s">
        <v>36</v>
      </c>
      <c r="E34" t="s">
        <v>17</v>
      </c>
      <c r="F34" s="4">
        <v>3339</v>
      </c>
      <c r="G34" s="5">
        <v>348</v>
      </c>
      <c r="H34">
        <f>_xlfn.XLOOKUP(data1[[#This Row],[Product]],products[Product],products[Cost per unit])</f>
        <v>3.11</v>
      </c>
      <c r="I34">
        <f>data1[[#This Row],[Cost per unit]]*data1[[#This Row],[Units]]</f>
        <v>1082.28</v>
      </c>
      <c r="K34" s="8"/>
    </row>
    <row r="35" spans="3:24" x14ac:dyDescent="0.3">
      <c r="C35" t="s">
        <v>10</v>
      </c>
      <c r="D35" t="s">
        <v>36</v>
      </c>
      <c r="E35" t="s">
        <v>29</v>
      </c>
      <c r="F35" s="4">
        <v>2471</v>
      </c>
      <c r="G35" s="5">
        <v>342</v>
      </c>
      <c r="H35">
        <f>_xlfn.XLOOKUP(data1[[#This Row],[Product]],products[Product],products[Cost per unit])</f>
        <v>7.16</v>
      </c>
      <c r="I35">
        <f>data1[[#This Row],[Cost per unit]]*data1[[#This Row],[Units]]</f>
        <v>2448.7200000000003</v>
      </c>
      <c r="K35" s="8"/>
    </row>
    <row r="36" spans="3:24" x14ac:dyDescent="0.3">
      <c r="C36" t="s">
        <v>5</v>
      </c>
      <c r="D36" t="s">
        <v>34</v>
      </c>
      <c r="E36" t="s">
        <v>20</v>
      </c>
      <c r="F36" s="4">
        <v>15610</v>
      </c>
      <c r="G36" s="5">
        <v>339</v>
      </c>
      <c r="H36">
        <f>_xlfn.XLOOKUP(data1[[#This Row],[Product]],products[Product],products[Cost per unit])</f>
        <v>10.62</v>
      </c>
      <c r="I36">
        <f>data1[[#This Row],[Cost per unit]]*data1[[#This Row],[Units]]</f>
        <v>3600.18</v>
      </c>
      <c r="K36" s="8"/>
    </row>
    <row r="37" spans="3:24" x14ac:dyDescent="0.3">
      <c r="C37" t="s">
        <v>7</v>
      </c>
      <c r="D37" t="s">
        <v>37</v>
      </c>
      <c r="E37" t="s">
        <v>16</v>
      </c>
      <c r="F37" s="4">
        <v>4487</v>
      </c>
      <c r="G37" s="5">
        <v>333</v>
      </c>
      <c r="H37">
        <f>_xlfn.XLOOKUP(data1[[#This Row],[Product]],products[Product],products[Cost per unit])</f>
        <v>8.7899999999999991</v>
      </c>
      <c r="I37">
        <f>data1[[#This Row],[Cost per unit]]*data1[[#This Row],[Units]]</f>
        <v>2927.0699999999997</v>
      </c>
      <c r="K37" s="8"/>
    </row>
    <row r="38" spans="3:24" x14ac:dyDescent="0.3">
      <c r="C38" t="s">
        <v>3</v>
      </c>
      <c r="D38" t="s">
        <v>37</v>
      </c>
      <c r="E38" t="s">
        <v>28</v>
      </c>
      <c r="F38" s="4">
        <v>7308</v>
      </c>
      <c r="G38" s="5">
        <v>327</v>
      </c>
      <c r="H38">
        <f>_xlfn.XLOOKUP(data1[[#This Row],[Product]],products[Product],products[Cost per unit])</f>
        <v>10.38</v>
      </c>
      <c r="I38">
        <f>data1[[#This Row],[Cost per unit]]*data1[[#This Row],[Units]]</f>
        <v>3394.26</v>
      </c>
      <c r="K38" s="8"/>
    </row>
    <row r="39" spans="3:24" x14ac:dyDescent="0.3">
      <c r="C39" t="s">
        <v>3</v>
      </c>
      <c r="D39" t="s">
        <v>37</v>
      </c>
      <c r="E39" t="s">
        <v>29</v>
      </c>
      <c r="F39" s="4">
        <v>4592</v>
      </c>
      <c r="G39" s="5">
        <v>324</v>
      </c>
      <c r="H39">
        <f>_xlfn.XLOOKUP(data1[[#This Row],[Product]],products[Product],products[Cost per unit])</f>
        <v>7.16</v>
      </c>
      <c r="I39">
        <f>data1[[#This Row],[Cost per unit]]*data1[[#This Row],[Units]]</f>
        <v>2319.84</v>
      </c>
      <c r="K39" s="8"/>
    </row>
    <row r="40" spans="3:24" x14ac:dyDescent="0.3">
      <c r="C40" t="s">
        <v>7</v>
      </c>
      <c r="D40" t="s">
        <v>38</v>
      </c>
      <c r="E40" t="s">
        <v>30</v>
      </c>
      <c r="F40" s="4">
        <v>10129</v>
      </c>
      <c r="G40" s="5">
        <v>312</v>
      </c>
      <c r="H40">
        <f>_xlfn.XLOOKUP(data1[[#This Row],[Product]],products[Product],products[Cost per unit])</f>
        <v>14.49</v>
      </c>
      <c r="I40">
        <f>data1[[#This Row],[Cost per unit]]*data1[[#This Row],[Units]]</f>
        <v>4520.88</v>
      </c>
      <c r="K40" s="8"/>
    </row>
    <row r="41" spans="3:24" x14ac:dyDescent="0.3">
      <c r="C41" t="s">
        <v>3</v>
      </c>
      <c r="D41" t="s">
        <v>34</v>
      </c>
      <c r="E41" t="s">
        <v>28</v>
      </c>
      <c r="F41" s="4">
        <v>3689</v>
      </c>
      <c r="G41" s="5">
        <v>312</v>
      </c>
      <c r="H41">
        <f>_xlfn.XLOOKUP(data1[[#This Row],[Product]],products[Product],products[Cost per unit])</f>
        <v>10.38</v>
      </c>
      <c r="I41">
        <f>data1[[#This Row],[Cost per unit]]*data1[[#This Row],[Units]]</f>
        <v>3238.5600000000004</v>
      </c>
      <c r="K41" s="8"/>
    </row>
    <row r="42" spans="3:24" x14ac:dyDescent="0.3">
      <c r="C42" t="s">
        <v>41</v>
      </c>
      <c r="D42" t="s">
        <v>36</v>
      </c>
      <c r="E42" t="s">
        <v>28</v>
      </c>
      <c r="F42" s="4">
        <v>854</v>
      </c>
      <c r="G42" s="5">
        <v>309</v>
      </c>
      <c r="H42">
        <f>_xlfn.XLOOKUP(data1[[#This Row],[Product]],products[Product],products[Cost per unit])</f>
        <v>10.38</v>
      </c>
      <c r="I42">
        <f>data1[[#This Row],[Cost per unit]]*data1[[#This Row],[Units]]</f>
        <v>3207.42</v>
      </c>
      <c r="K42" s="8"/>
    </row>
    <row r="43" spans="3:24" x14ac:dyDescent="0.3">
      <c r="C43" t="s">
        <v>9</v>
      </c>
      <c r="D43" t="s">
        <v>39</v>
      </c>
      <c r="E43" t="s">
        <v>24</v>
      </c>
      <c r="F43" s="4">
        <v>3920</v>
      </c>
      <c r="G43" s="5">
        <v>306</v>
      </c>
      <c r="H43">
        <f>_xlfn.XLOOKUP(data1[[#This Row],[Product]],products[Product],products[Cost per unit])</f>
        <v>4.97</v>
      </c>
      <c r="I43">
        <f>data1[[#This Row],[Cost per unit]]*data1[[#This Row],[Units]]</f>
        <v>1520.82</v>
      </c>
      <c r="K43" s="8"/>
    </row>
    <row r="44" spans="3:24" x14ac:dyDescent="0.3">
      <c r="C44" t="s">
        <v>40</v>
      </c>
      <c r="D44" t="s">
        <v>36</v>
      </c>
      <c r="E44" t="s">
        <v>27</v>
      </c>
      <c r="F44" s="4">
        <v>3164</v>
      </c>
      <c r="G44" s="5">
        <v>306</v>
      </c>
      <c r="H44">
        <f>_xlfn.XLOOKUP(data1[[#This Row],[Product]],products[Product],products[Cost per unit])</f>
        <v>16.73</v>
      </c>
      <c r="I44">
        <f>data1[[#This Row],[Cost per unit]]*data1[[#This Row],[Units]]</f>
        <v>5119.38</v>
      </c>
      <c r="K44" s="8"/>
    </row>
    <row r="45" spans="3:24" x14ac:dyDescent="0.3">
      <c r="C45" t="s">
        <v>3</v>
      </c>
      <c r="D45" t="s">
        <v>35</v>
      </c>
      <c r="E45" t="s">
        <v>33</v>
      </c>
      <c r="F45" s="4">
        <v>819</v>
      </c>
      <c r="G45" s="5">
        <v>306</v>
      </c>
      <c r="H45">
        <f>_xlfn.XLOOKUP(data1[[#This Row],[Product]],products[Product],products[Cost per unit])</f>
        <v>12.37</v>
      </c>
      <c r="I45" s="24">
        <f>data1[[#This Row],[Cost per unit]]*data1[[#This Row],[Units]]</f>
        <v>3785.22</v>
      </c>
      <c r="J45" s="25"/>
    </row>
    <row r="46" spans="3:24" x14ac:dyDescent="0.3">
      <c r="C46" t="s">
        <v>3</v>
      </c>
      <c r="D46" t="s">
        <v>38</v>
      </c>
      <c r="E46" t="s">
        <v>26</v>
      </c>
      <c r="F46" s="4">
        <v>8841</v>
      </c>
      <c r="G46" s="5">
        <v>303</v>
      </c>
      <c r="H46">
        <f>_xlfn.XLOOKUP(data1[[#This Row],[Product]],products[Product],products[Cost per unit])</f>
        <v>5.6</v>
      </c>
      <c r="I46" s="24">
        <f>data1[[#This Row],[Cost per unit]]*data1[[#This Row],[Units]]</f>
        <v>1696.8</v>
      </c>
      <c r="J46" s="25"/>
    </row>
    <row r="47" spans="3:24" x14ac:dyDescent="0.3">
      <c r="C47" t="s">
        <v>10</v>
      </c>
      <c r="D47" t="s">
        <v>36</v>
      </c>
      <c r="E47" t="s">
        <v>32</v>
      </c>
      <c r="F47" s="4">
        <v>6657</v>
      </c>
      <c r="G47" s="5">
        <v>303</v>
      </c>
      <c r="H47">
        <f>_xlfn.XLOOKUP(data1[[#This Row],[Product]],products[Product],products[Cost per unit])</f>
        <v>8.65</v>
      </c>
      <c r="I47" s="24">
        <f>data1[[#This Row],[Cost per unit]]*data1[[#This Row],[Units]]</f>
        <v>2620.9500000000003</v>
      </c>
      <c r="J47" s="25"/>
    </row>
    <row r="48" spans="3:24" x14ac:dyDescent="0.3">
      <c r="C48" t="s">
        <v>2</v>
      </c>
      <c r="D48" t="s">
        <v>35</v>
      </c>
      <c r="E48" t="s">
        <v>17</v>
      </c>
      <c r="F48" s="4">
        <v>1589</v>
      </c>
      <c r="G48" s="5">
        <v>303</v>
      </c>
      <c r="H48">
        <f>_xlfn.XLOOKUP(data1[[#This Row],[Product]],products[Product],products[Cost per unit])</f>
        <v>3.11</v>
      </c>
      <c r="I48" s="24">
        <f>data1[[#This Row],[Cost per unit]]*data1[[#This Row],[Units]]</f>
        <v>942.32999999999993</v>
      </c>
      <c r="J48" s="25"/>
    </row>
    <row r="49" spans="3:10" x14ac:dyDescent="0.3">
      <c r="C49" t="s">
        <v>8</v>
      </c>
      <c r="D49" t="s">
        <v>35</v>
      </c>
      <c r="E49" t="s">
        <v>27</v>
      </c>
      <c r="F49" s="4">
        <v>4753</v>
      </c>
      <c r="G49" s="5">
        <v>300</v>
      </c>
      <c r="H49">
        <f>_xlfn.XLOOKUP(data1[[#This Row],[Product]],products[Product],products[Cost per unit])</f>
        <v>16.73</v>
      </c>
      <c r="I49" s="24">
        <f>data1[[#This Row],[Cost per unit]]*data1[[#This Row],[Units]]</f>
        <v>5019</v>
      </c>
      <c r="J49" s="25"/>
    </row>
    <row r="50" spans="3:10" x14ac:dyDescent="0.3">
      <c r="C50" t="s">
        <v>7</v>
      </c>
      <c r="D50" t="s">
        <v>36</v>
      </c>
      <c r="E50" t="s">
        <v>19</v>
      </c>
      <c r="F50" s="4">
        <v>2870</v>
      </c>
      <c r="G50" s="5">
        <v>300</v>
      </c>
      <c r="H50">
        <f>_xlfn.XLOOKUP(data1[[#This Row],[Product]],products[Product],products[Cost per unit])</f>
        <v>7.64</v>
      </c>
      <c r="I50" s="24">
        <f>data1[[#This Row],[Cost per unit]]*data1[[#This Row],[Units]]</f>
        <v>2292</v>
      </c>
      <c r="J50" s="25"/>
    </row>
    <row r="51" spans="3:10" x14ac:dyDescent="0.3">
      <c r="C51" t="s">
        <v>40</v>
      </c>
      <c r="D51" t="s">
        <v>38</v>
      </c>
      <c r="E51" t="s">
        <v>13</v>
      </c>
      <c r="F51" s="4">
        <v>5670</v>
      </c>
      <c r="G51" s="5">
        <v>297</v>
      </c>
      <c r="H51">
        <f>_xlfn.XLOOKUP(data1[[#This Row],[Product]],products[Product],products[Cost per unit])</f>
        <v>9.33</v>
      </c>
      <c r="I51" s="26">
        <f>data1[[#This Row],[Cost per unit]]*data1[[#This Row],[Units]]</f>
        <v>2771.01</v>
      </c>
      <c r="J51" s="27"/>
    </row>
    <row r="52" spans="3:10" x14ac:dyDescent="0.3">
      <c r="C52" t="s">
        <v>41</v>
      </c>
      <c r="D52" t="s">
        <v>36</v>
      </c>
      <c r="E52" t="s">
        <v>18</v>
      </c>
      <c r="F52" s="4">
        <v>9632</v>
      </c>
      <c r="G52" s="5">
        <v>288</v>
      </c>
      <c r="H52">
        <f>_xlfn.XLOOKUP(data1[[#This Row],[Product]],products[Product],products[Cost per unit])</f>
        <v>6.47</v>
      </c>
      <c r="I52">
        <f>data1[[#This Row],[Cost per unit]]*data1[[#This Row],[Units]]</f>
        <v>1863.36</v>
      </c>
    </row>
    <row r="53" spans="3:10" x14ac:dyDescent="0.3">
      <c r="C53" t="s">
        <v>7</v>
      </c>
      <c r="D53" t="s">
        <v>35</v>
      </c>
      <c r="E53" t="s">
        <v>28</v>
      </c>
      <c r="F53" s="4">
        <v>5194</v>
      </c>
      <c r="G53" s="5">
        <v>288</v>
      </c>
      <c r="H53">
        <f>_xlfn.XLOOKUP(data1[[#This Row],[Product]],products[Product],products[Cost per unit])</f>
        <v>10.38</v>
      </c>
      <c r="I53">
        <f>data1[[#This Row],[Cost per unit]]*data1[[#This Row],[Units]]</f>
        <v>2989.44</v>
      </c>
    </row>
    <row r="54" spans="3:10" x14ac:dyDescent="0.3">
      <c r="C54" t="s">
        <v>8</v>
      </c>
      <c r="D54" t="s">
        <v>34</v>
      </c>
      <c r="E54" t="s">
        <v>31</v>
      </c>
      <c r="F54" s="4">
        <v>3507</v>
      </c>
      <c r="G54" s="5">
        <v>288</v>
      </c>
      <c r="H54">
        <f>_xlfn.XLOOKUP(data1[[#This Row],[Product]],products[Product],products[Cost per unit])</f>
        <v>5.79</v>
      </c>
      <c r="I54">
        <f>data1[[#This Row],[Cost per unit]]*data1[[#This Row],[Units]]</f>
        <v>1667.52</v>
      </c>
    </row>
    <row r="55" spans="3:10" x14ac:dyDescent="0.3">
      <c r="C55" t="s">
        <v>10</v>
      </c>
      <c r="D55" t="s">
        <v>37</v>
      </c>
      <c r="E55" t="s">
        <v>21</v>
      </c>
      <c r="F55" s="4">
        <v>245</v>
      </c>
      <c r="G55" s="5">
        <v>288</v>
      </c>
      <c r="H55">
        <f>_xlfn.XLOOKUP(data1[[#This Row],[Product]],products[Product],products[Cost per unit])</f>
        <v>9</v>
      </c>
      <c r="I55">
        <f>data1[[#This Row],[Cost per unit]]*data1[[#This Row],[Units]]</f>
        <v>2592</v>
      </c>
    </row>
    <row r="56" spans="3:10" x14ac:dyDescent="0.3">
      <c r="C56" t="s">
        <v>6</v>
      </c>
      <c r="D56" t="s">
        <v>38</v>
      </c>
      <c r="E56" t="s">
        <v>27</v>
      </c>
      <c r="F56" s="4">
        <v>1134</v>
      </c>
      <c r="G56" s="5">
        <v>282</v>
      </c>
      <c r="H56">
        <f>_xlfn.XLOOKUP(data1[[#This Row],[Product]],products[Product],products[Cost per unit])</f>
        <v>16.73</v>
      </c>
      <c r="I56">
        <f>data1[[#This Row],[Cost per unit]]*data1[[#This Row],[Units]]</f>
        <v>4717.8599999999997</v>
      </c>
    </row>
    <row r="57" spans="3:10" x14ac:dyDescent="0.3">
      <c r="C57" t="s">
        <v>10</v>
      </c>
      <c r="D57" t="s">
        <v>39</v>
      </c>
      <c r="E57" t="s">
        <v>21</v>
      </c>
      <c r="F57" s="4">
        <v>4858</v>
      </c>
      <c r="G57" s="5">
        <v>279</v>
      </c>
      <c r="H57">
        <f>_xlfn.XLOOKUP(data1[[#This Row],[Product]],products[Product],products[Cost per unit])</f>
        <v>9</v>
      </c>
      <c r="I57">
        <f>data1[[#This Row],[Cost per unit]]*data1[[#This Row],[Units]]</f>
        <v>2511</v>
      </c>
    </row>
    <row r="58" spans="3:10" x14ac:dyDescent="0.3">
      <c r="C58" t="s">
        <v>10</v>
      </c>
      <c r="D58" t="s">
        <v>35</v>
      </c>
      <c r="E58" t="s">
        <v>18</v>
      </c>
      <c r="F58" s="4">
        <v>3808</v>
      </c>
      <c r="G58" s="5">
        <v>279</v>
      </c>
      <c r="H58">
        <f>_xlfn.XLOOKUP(data1[[#This Row],[Product]],products[Product],products[Cost per unit])</f>
        <v>6.47</v>
      </c>
      <c r="I58">
        <f>data1[[#This Row],[Cost per unit]]*data1[[#This Row],[Units]]</f>
        <v>1805.1299999999999</v>
      </c>
    </row>
    <row r="59" spans="3:10" x14ac:dyDescent="0.3">
      <c r="C59" t="s">
        <v>3</v>
      </c>
      <c r="D59" t="s">
        <v>34</v>
      </c>
      <c r="E59" t="s">
        <v>14</v>
      </c>
      <c r="F59" s="4">
        <v>7259</v>
      </c>
      <c r="G59" s="5">
        <v>276</v>
      </c>
      <c r="H59">
        <f>_xlfn.XLOOKUP(data1[[#This Row],[Product]],products[Product],products[Cost per unit])</f>
        <v>11.7</v>
      </c>
      <c r="I59">
        <f>data1[[#This Row],[Cost per unit]]*data1[[#This Row],[Units]]</f>
        <v>3229.2</v>
      </c>
    </row>
    <row r="60" spans="3:10" x14ac:dyDescent="0.3">
      <c r="C60" t="s">
        <v>3</v>
      </c>
      <c r="D60" t="s">
        <v>35</v>
      </c>
      <c r="E60" t="s">
        <v>15</v>
      </c>
      <c r="F60" s="4">
        <v>6657</v>
      </c>
      <c r="G60" s="5">
        <v>276</v>
      </c>
      <c r="H60">
        <f>_xlfn.XLOOKUP(data1[[#This Row],[Product]],products[Product],products[Cost per unit])</f>
        <v>11.73</v>
      </c>
      <c r="I60">
        <f>data1[[#This Row],[Cost per unit]]*data1[[#This Row],[Units]]</f>
        <v>3237.48</v>
      </c>
    </row>
    <row r="61" spans="3:10" x14ac:dyDescent="0.3">
      <c r="C61" t="s">
        <v>9</v>
      </c>
      <c r="D61" t="s">
        <v>37</v>
      </c>
      <c r="E61" t="s">
        <v>29</v>
      </c>
      <c r="F61" s="4">
        <v>1085</v>
      </c>
      <c r="G61" s="5">
        <v>273</v>
      </c>
      <c r="H61">
        <f>_xlfn.XLOOKUP(data1[[#This Row],[Product]],products[Product],products[Cost per unit])</f>
        <v>7.16</v>
      </c>
      <c r="I61">
        <f>data1[[#This Row],[Cost per unit]]*data1[[#This Row],[Units]]</f>
        <v>1954.68</v>
      </c>
    </row>
    <row r="62" spans="3:10" x14ac:dyDescent="0.3">
      <c r="C62" t="s">
        <v>7</v>
      </c>
      <c r="D62" t="s">
        <v>38</v>
      </c>
      <c r="E62" t="s">
        <v>18</v>
      </c>
      <c r="F62" s="4">
        <v>1778</v>
      </c>
      <c r="G62" s="5">
        <v>270</v>
      </c>
      <c r="H62">
        <f>_xlfn.XLOOKUP(data1[[#This Row],[Product]],products[Product],products[Cost per unit])</f>
        <v>6.47</v>
      </c>
      <c r="I62">
        <f>data1[[#This Row],[Cost per unit]]*data1[[#This Row],[Units]]</f>
        <v>1746.8999999999999</v>
      </c>
    </row>
    <row r="63" spans="3:10" x14ac:dyDescent="0.3">
      <c r="C63" t="s">
        <v>6</v>
      </c>
      <c r="D63" t="s">
        <v>35</v>
      </c>
      <c r="E63" t="s">
        <v>20</v>
      </c>
      <c r="F63" s="4">
        <v>1071</v>
      </c>
      <c r="G63" s="5">
        <v>270</v>
      </c>
      <c r="H63">
        <f>_xlfn.XLOOKUP(data1[[#This Row],[Product]],products[Product],products[Cost per unit])</f>
        <v>10.62</v>
      </c>
      <c r="I63">
        <f>data1[[#This Row],[Cost per unit]]*data1[[#This Row],[Units]]</f>
        <v>2867.3999999999996</v>
      </c>
    </row>
    <row r="64" spans="3:10" x14ac:dyDescent="0.3">
      <c r="C64" t="s">
        <v>10</v>
      </c>
      <c r="D64" t="s">
        <v>36</v>
      </c>
      <c r="E64" t="s">
        <v>23</v>
      </c>
      <c r="F64" s="4">
        <v>2317</v>
      </c>
      <c r="G64" s="5">
        <v>261</v>
      </c>
      <c r="H64">
        <f>_xlfn.XLOOKUP(data1[[#This Row],[Product]],products[Product],products[Cost per unit])</f>
        <v>6.49</v>
      </c>
      <c r="I64">
        <f>data1[[#This Row],[Cost per unit]]*data1[[#This Row],[Units]]</f>
        <v>1693.89</v>
      </c>
    </row>
    <row r="65" spans="3:9" x14ac:dyDescent="0.3">
      <c r="C65" t="s">
        <v>7</v>
      </c>
      <c r="D65" t="s">
        <v>38</v>
      </c>
      <c r="E65" t="s">
        <v>28</v>
      </c>
      <c r="F65" s="4">
        <v>5677</v>
      </c>
      <c r="G65" s="5">
        <v>258</v>
      </c>
      <c r="H65">
        <f>_xlfn.XLOOKUP(data1[[#This Row],[Product]],products[Product],products[Cost per unit])</f>
        <v>10.38</v>
      </c>
      <c r="I65">
        <f>data1[[#This Row],[Cost per unit]]*data1[[#This Row],[Units]]</f>
        <v>2678.0400000000004</v>
      </c>
    </row>
    <row r="66" spans="3:9" x14ac:dyDescent="0.3">
      <c r="C66" t="s">
        <v>3</v>
      </c>
      <c r="D66" t="s">
        <v>35</v>
      </c>
      <c r="E66" t="s">
        <v>14</v>
      </c>
      <c r="F66" s="4">
        <v>2415</v>
      </c>
      <c r="G66" s="5">
        <v>255</v>
      </c>
      <c r="H66">
        <f>_xlfn.XLOOKUP(data1[[#This Row],[Product]],products[Product],products[Cost per unit])</f>
        <v>11.7</v>
      </c>
      <c r="I66">
        <f>data1[[#This Row],[Cost per unit]]*data1[[#This Row],[Units]]</f>
        <v>2983.5</v>
      </c>
    </row>
    <row r="67" spans="3:9" x14ac:dyDescent="0.3">
      <c r="C67" t="s">
        <v>7</v>
      </c>
      <c r="D67" t="s">
        <v>35</v>
      </c>
      <c r="E67" t="s">
        <v>30</v>
      </c>
      <c r="F67" s="4">
        <v>6755</v>
      </c>
      <c r="G67" s="5">
        <v>252</v>
      </c>
      <c r="H67">
        <f>_xlfn.XLOOKUP(data1[[#This Row],[Product]],products[Product],products[Cost per unit])</f>
        <v>14.49</v>
      </c>
      <c r="I67">
        <f>data1[[#This Row],[Cost per unit]]*data1[[#This Row],[Units]]</f>
        <v>3651.48</v>
      </c>
    </row>
    <row r="68" spans="3:9" x14ac:dyDescent="0.3">
      <c r="C68" t="s">
        <v>7</v>
      </c>
      <c r="D68" t="s">
        <v>36</v>
      </c>
      <c r="E68" t="s">
        <v>29</v>
      </c>
      <c r="F68" s="4">
        <v>5551</v>
      </c>
      <c r="G68" s="5">
        <v>252</v>
      </c>
      <c r="H68">
        <f>_xlfn.XLOOKUP(data1[[#This Row],[Product]],products[Product],products[Cost per unit])</f>
        <v>7.16</v>
      </c>
      <c r="I68">
        <f>data1[[#This Row],[Cost per unit]]*data1[[#This Row],[Units]]</f>
        <v>1804.32</v>
      </c>
    </row>
    <row r="69" spans="3:9" x14ac:dyDescent="0.3">
      <c r="C69" t="s">
        <v>5</v>
      </c>
      <c r="D69" t="s">
        <v>39</v>
      </c>
      <c r="E69" t="s">
        <v>18</v>
      </c>
      <c r="F69" s="4">
        <v>385</v>
      </c>
      <c r="G69" s="5">
        <v>249</v>
      </c>
      <c r="H69">
        <f>_xlfn.XLOOKUP(data1[[#This Row],[Product]],products[Product],products[Cost per unit])</f>
        <v>6.47</v>
      </c>
      <c r="I69">
        <f>data1[[#This Row],[Cost per unit]]*data1[[#This Row],[Units]]</f>
        <v>1611.03</v>
      </c>
    </row>
    <row r="70" spans="3:9" x14ac:dyDescent="0.3">
      <c r="C70" t="s">
        <v>5</v>
      </c>
      <c r="D70" t="s">
        <v>35</v>
      </c>
      <c r="E70" t="s">
        <v>31</v>
      </c>
      <c r="F70" s="4">
        <v>4753</v>
      </c>
      <c r="G70" s="5">
        <v>246</v>
      </c>
      <c r="H70">
        <f>_xlfn.XLOOKUP(data1[[#This Row],[Product]],products[Product],products[Cost per unit])</f>
        <v>5.79</v>
      </c>
      <c r="I70">
        <f>data1[[#This Row],[Cost per unit]]*data1[[#This Row],[Units]]</f>
        <v>1424.34</v>
      </c>
    </row>
    <row r="71" spans="3:9" x14ac:dyDescent="0.3">
      <c r="C71" t="s">
        <v>7</v>
      </c>
      <c r="D71" t="s">
        <v>39</v>
      </c>
      <c r="E71" t="s">
        <v>17</v>
      </c>
      <c r="F71" s="4">
        <v>4438</v>
      </c>
      <c r="G71" s="5">
        <v>246</v>
      </c>
      <c r="H71">
        <f>_xlfn.XLOOKUP(data1[[#This Row],[Product]],products[Product],products[Cost per unit])</f>
        <v>3.11</v>
      </c>
      <c r="I71">
        <f>data1[[#This Row],[Cost per unit]]*data1[[#This Row],[Units]]</f>
        <v>765.06</v>
      </c>
    </row>
    <row r="72" spans="3:9" x14ac:dyDescent="0.3">
      <c r="C72" t="s">
        <v>2</v>
      </c>
      <c r="D72" t="s">
        <v>36</v>
      </c>
      <c r="E72" t="s">
        <v>31</v>
      </c>
      <c r="F72" s="4">
        <v>3094</v>
      </c>
      <c r="G72" s="5">
        <v>246</v>
      </c>
      <c r="H72">
        <f>_xlfn.XLOOKUP(data1[[#This Row],[Product]],products[Product],products[Cost per unit])</f>
        <v>5.79</v>
      </c>
      <c r="I72">
        <f>data1[[#This Row],[Cost per unit]]*data1[[#This Row],[Units]]</f>
        <v>1424.34</v>
      </c>
    </row>
    <row r="73" spans="3:9" x14ac:dyDescent="0.3">
      <c r="C73" t="s">
        <v>9</v>
      </c>
      <c r="D73" t="s">
        <v>37</v>
      </c>
      <c r="E73" t="s">
        <v>26</v>
      </c>
      <c r="F73" s="4">
        <v>2856</v>
      </c>
      <c r="G73" s="5">
        <v>246</v>
      </c>
      <c r="H73">
        <f>_xlfn.XLOOKUP(data1[[#This Row],[Product]],products[Product],products[Cost per unit])</f>
        <v>5.6</v>
      </c>
      <c r="I73">
        <f>data1[[#This Row],[Cost per unit]]*data1[[#This Row],[Units]]</f>
        <v>1377.6</v>
      </c>
    </row>
    <row r="74" spans="3:9" x14ac:dyDescent="0.3">
      <c r="C74" t="s">
        <v>9</v>
      </c>
      <c r="D74" t="s">
        <v>35</v>
      </c>
      <c r="E74" t="s">
        <v>15</v>
      </c>
      <c r="F74" s="4">
        <v>7833</v>
      </c>
      <c r="G74" s="5">
        <v>243</v>
      </c>
      <c r="H74">
        <f>_xlfn.XLOOKUP(data1[[#This Row],[Product]],products[Product],products[Cost per unit])</f>
        <v>11.73</v>
      </c>
      <c r="I74">
        <f>data1[[#This Row],[Cost per unit]]*data1[[#This Row],[Units]]</f>
        <v>2850.3900000000003</v>
      </c>
    </row>
    <row r="75" spans="3:9" x14ac:dyDescent="0.3">
      <c r="C75" t="s">
        <v>7</v>
      </c>
      <c r="D75" t="s">
        <v>35</v>
      </c>
      <c r="E75" t="s">
        <v>19</v>
      </c>
      <c r="F75" s="4">
        <v>4585</v>
      </c>
      <c r="G75" s="5">
        <v>240</v>
      </c>
      <c r="H75">
        <f>_xlfn.XLOOKUP(data1[[#This Row],[Product]],products[Product],products[Cost per unit])</f>
        <v>7.64</v>
      </c>
      <c r="I75">
        <f>data1[[#This Row],[Cost per unit]]*data1[[#This Row],[Units]]</f>
        <v>1833.6</v>
      </c>
    </row>
    <row r="76" spans="3:9" x14ac:dyDescent="0.3">
      <c r="C76" t="s">
        <v>41</v>
      </c>
      <c r="D76" t="s">
        <v>37</v>
      </c>
      <c r="E76" t="s">
        <v>30</v>
      </c>
      <c r="F76" s="4">
        <v>1526</v>
      </c>
      <c r="G76" s="5">
        <v>240</v>
      </c>
      <c r="H76">
        <f>_xlfn.XLOOKUP(data1[[#This Row],[Product]],products[Product],products[Cost per unit])</f>
        <v>14.49</v>
      </c>
      <c r="I76">
        <f>data1[[#This Row],[Cost per unit]]*data1[[#This Row],[Units]]</f>
        <v>3477.6</v>
      </c>
    </row>
    <row r="77" spans="3:9" x14ac:dyDescent="0.3">
      <c r="C77" t="s">
        <v>5</v>
      </c>
      <c r="D77" t="s">
        <v>34</v>
      </c>
      <c r="E77" t="s">
        <v>22</v>
      </c>
      <c r="F77" s="4">
        <v>6279</v>
      </c>
      <c r="G77" s="5">
        <v>237</v>
      </c>
      <c r="H77">
        <f>_xlfn.XLOOKUP(data1[[#This Row],[Product]],products[Product],products[Cost per unit])</f>
        <v>9.77</v>
      </c>
      <c r="I77">
        <f>data1[[#This Row],[Cost per unit]]*data1[[#This Row],[Units]]</f>
        <v>2315.4899999999998</v>
      </c>
    </row>
    <row r="78" spans="3:9" x14ac:dyDescent="0.3">
      <c r="C78" t="s">
        <v>40</v>
      </c>
      <c r="D78" t="s">
        <v>35</v>
      </c>
      <c r="E78" t="s">
        <v>32</v>
      </c>
      <c r="F78" s="4">
        <v>12348</v>
      </c>
      <c r="G78" s="5">
        <v>234</v>
      </c>
      <c r="H78">
        <f>_xlfn.XLOOKUP(data1[[#This Row],[Product]],products[Product],products[Cost per unit])</f>
        <v>8.65</v>
      </c>
      <c r="I78">
        <f>data1[[#This Row],[Cost per unit]]*data1[[#This Row],[Units]]</f>
        <v>2024.1000000000001</v>
      </c>
    </row>
    <row r="79" spans="3:9" x14ac:dyDescent="0.3">
      <c r="C79" t="s">
        <v>3</v>
      </c>
      <c r="D79" t="s">
        <v>35</v>
      </c>
      <c r="E79" t="s">
        <v>25</v>
      </c>
      <c r="F79" s="4">
        <v>2464</v>
      </c>
      <c r="G79" s="5">
        <v>234</v>
      </c>
      <c r="H79">
        <f>_xlfn.XLOOKUP(data1[[#This Row],[Product]],products[Product],products[Cost per unit])</f>
        <v>13.15</v>
      </c>
      <c r="I79">
        <f>data1[[#This Row],[Cost per unit]]*data1[[#This Row],[Units]]</f>
        <v>3077.1</v>
      </c>
    </row>
    <row r="80" spans="3:9" x14ac:dyDescent="0.3">
      <c r="C80" t="s">
        <v>8</v>
      </c>
      <c r="D80" t="s">
        <v>38</v>
      </c>
      <c r="E80" t="s">
        <v>23</v>
      </c>
      <c r="F80" s="4">
        <v>1701</v>
      </c>
      <c r="G80" s="5">
        <v>234</v>
      </c>
      <c r="H80">
        <f>_xlfn.XLOOKUP(data1[[#This Row],[Product]],products[Product],products[Cost per unit])</f>
        <v>6.49</v>
      </c>
      <c r="I80">
        <f>data1[[#This Row],[Cost per unit]]*data1[[#This Row],[Units]]</f>
        <v>1518.66</v>
      </c>
    </row>
    <row r="81" spans="3:9" x14ac:dyDescent="0.3">
      <c r="C81" t="s">
        <v>41</v>
      </c>
      <c r="D81" t="s">
        <v>36</v>
      </c>
      <c r="E81" t="s">
        <v>13</v>
      </c>
      <c r="F81" s="4">
        <v>10311</v>
      </c>
      <c r="G81" s="5">
        <v>231</v>
      </c>
      <c r="H81">
        <f>_xlfn.XLOOKUP(data1[[#This Row],[Product]],products[Product],products[Cost per unit])</f>
        <v>9.33</v>
      </c>
      <c r="I81">
        <f>data1[[#This Row],[Cost per unit]]*data1[[#This Row],[Units]]</f>
        <v>2155.23</v>
      </c>
    </row>
    <row r="82" spans="3:9" x14ac:dyDescent="0.3">
      <c r="C82" t="s">
        <v>41</v>
      </c>
      <c r="D82" t="s">
        <v>37</v>
      </c>
      <c r="E82" t="s">
        <v>15</v>
      </c>
      <c r="F82" s="4">
        <v>714</v>
      </c>
      <c r="G82" s="5">
        <v>231</v>
      </c>
      <c r="H82">
        <f>_xlfn.XLOOKUP(data1[[#This Row],[Product]],products[Product],products[Cost per unit])</f>
        <v>11.73</v>
      </c>
      <c r="I82">
        <f>data1[[#This Row],[Cost per unit]]*data1[[#This Row],[Units]]</f>
        <v>2709.63</v>
      </c>
    </row>
    <row r="83" spans="3:9" x14ac:dyDescent="0.3">
      <c r="C83" t="s">
        <v>10</v>
      </c>
      <c r="D83" t="s">
        <v>35</v>
      </c>
      <c r="E83" t="s">
        <v>21</v>
      </c>
      <c r="F83" s="4">
        <v>567</v>
      </c>
      <c r="G83" s="5">
        <v>228</v>
      </c>
      <c r="H83">
        <f>_xlfn.XLOOKUP(data1[[#This Row],[Product]],products[Product],products[Cost per unit])</f>
        <v>9</v>
      </c>
      <c r="I83">
        <f>data1[[#This Row],[Cost per unit]]*data1[[#This Row],[Units]]</f>
        <v>2052</v>
      </c>
    </row>
    <row r="84" spans="3:9" x14ac:dyDescent="0.3">
      <c r="C84" t="s">
        <v>7</v>
      </c>
      <c r="D84" t="s">
        <v>37</v>
      </c>
      <c r="E84" t="s">
        <v>14</v>
      </c>
      <c r="F84" s="4">
        <v>6608</v>
      </c>
      <c r="G84" s="5">
        <v>225</v>
      </c>
      <c r="H84">
        <f>_xlfn.XLOOKUP(data1[[#This Row],[Product]],products[Product],products[Cost per unit])</f>
        <v>11.7</v>
      </c>
      <c r="I84">
        <f>data1[[#This Row],[Cost per unit]]*data1[[#This Row],[Units]]</f>
        <v>2632.5</v>
      </c>
    </row>
    <row r="85" spans="3:9" x14ac:dyDescent="0.3">
      <c r="C85" t="s">
        <v>40</v>
      </c>
      <c r="D85" t="s">
        <v>39</v>
      </c>
      <c r="E85" t="s">
        <v>28</v>
      </c>
      <c r="F85" s="4">
        <v>3101</v>
      </c>
      <c r="G85" s="5">
        <v>225</v>
      </c>
      <c r="H85">
        <f>_xlfn.XLOOKUP(data1[[#This Row],[Product]],products[Product],products[Cost per unit])</f>
        <v>10.38</v>
      </c>
      <c r="I85">
        <f>data1[[#This Row],[Cost per unit]]*data1[[#This Row],[Units]]</f>
        <v>2335.5</v>
      </c>
    </row>
    <row r="86" spans="3:9" x14ac:dyDescent="0.3">
      <c r="C86" t="s">
        <v>41</v>
      </c>
      <c r="D86" t="s">
        <v>34</v>
      </c>
      <c r="E86" t="s">
        <v>16</v>
      </c>
      <c r="F86" s="4">
        <v>1274</v>
      </c>
      <c r="G86" s="5">
        <v>225</v>
      </c>
      <c r="H86">
        <f>_xlfn.XLOOKUP(data1[[#This Row],[Product]],products[Product],products[Cost per unit])</f>
        <v>8.7899999999999991</v>
      </c>
      <c r="I86">
        <f>data1[[#This Row],[Cost per unit]]*data1[[#This Row],[Units]]</f>
        <v>1977.7499999999998</v>
      </c>
    </row>
    <row r="87" spans="3:9" x14ac:dyDescent="0.3">
      <c r="C87" t="s">
        <v>8</v>
      </c>
      <c r="D87" t="s">
        <v>34</v>
      </c>
      <c r="E87" t="s">
        <v>16</v>
      </c>
      <c r="F87" s="4">
        <v>2009</v>
      </c>
      <c r="G87" s="5">
        <v>219</v>
      </c>
      <c r="H87">
        <f>_xlfn.XLOOKUP(data1[[#This Row],[Product]],products[Product],products[Cost per unit])</f>
        <v>8.7899999999999991</v>
      </c>
      <c r="I87">
        <f>data1[[#This Row],[Cost per unit]]*data1[[#This Row],[Units]]</f>
        <v>1925.0099999999998</v>
      </c>
    </row>
    <row r="88" spans="3:9" x14ac:dyDescent="0.3">
      <c r="C88" t="s">
        <v>41</v>
      </c>
      <c r="D88" t="s">
        <v>35</v>
      </c>
      <c r="E88" t="s">
        <v>28</v>
      </c>
      <c r="F88" s="4">
        <v>7455</v>
      </c>
      <c r="G88" s="5">
        <v>216</v>
      </c>
      <c r="H88">
        <f>_xlfn.XLOOKUP(data1[[#This Row],[Product]],products[Product],products[Cost per unit])</f>
        <v>10.38</v>
      </c>
      <c r="I88">
        <f>data1[[#This Row],[Cost per unit]]*data1[[#This Row],[Units]]</f>
        <v>2242.0800000000004</v>
      </c>
    </row>
    <row r="89" spans="3:9" x14ac:dyDescent="0.3">
      <c r="C89" t="s">
        <v>2</v>
      </c>
      <c r="D89" t="s">
        <v>39</v>
      </c>
      <c r="E89" t="s">
        <v>21</v>
      </c>
      <c r="F89" s="4">
        <v>7651</v>
      </c>
      <c r="G89" s="5">
        <v>213</v>
      </c>
      <c r="H89">
        <f>_xlfn.XLOOKUP(data1[[#This Row],[Product]],products[Product],products[Cost per unit])</f>
        <v>9</v>
      </c>
      <c r="I89">
        <f>data1[[#This Row],[Cost per unit]]*data1[[#This Row],[Units]]</f>
        <v>1917</v>
      </c>
    </row>
    <row r="90" spans="3:9" x14ac:dyDescent="0.3">
      <c r="C90" t="s">
        <v>8</v>
      </c>
      <c r="D90" t="s">
        <v>38</v>
      </c>
      <c r="E90" t="s">
        <v>32</v>
      </c>
      <c r="F90" s="4">
        <v>3752</v>
      </c>
      <c r="G90" s="5">
        <v>213</v>
      </c>
      <c r="H90">
        <f>_xlfn.XLOOKUP(data1[[#This Row],[Product]],products[Product],products[Cost per unit])</f>
        <v>8.65</v>
      </c>
      <c r="I90">
        <f>data1[[#This Row],[Cost per unit]]*data1[[#This Row],[Units]]</f>
        <v>1842.45</v>
      </c>
    </row>
    <row r="91" spans="3:9" x14ac:dyDescent="0.3">
      <c r="C91" t="s">
        <v>8</v>
      </c>
      <c r="D91" t="s">
        <v>39</v>
      </c>
      <c r="E91" t="s">
        <v>31</v>
      </c>
      <c r="F91" s="4">
        <v>8890</v>
      </c>
      <c r="G91" s="5">
        <v>210</v>
      </c>
      <c r="H91">
        <f>_xlfn.XLOOKUP(data1[[#This Row],[Product]],products[Product],products[Cost per unit])</f>
        <v>5.79</v>
      </c>
      <c r="I91">
        <f>data1[[#This Row],[Cost per unit]]*data1[[#This Row],[Units]]</f>
        <v>1215.9000000000001</v>
      </c>
    </row>
    <row r="92" spans="3:9" x14ac:dyDescent="0.3">
      <c r="C92" t="s">
        <v>8</v>
      </c>
      <c r="D92" t="s">
        <v>35</v>
      </c>
      <c r="E92" t="s">
        <v>22</v>
      </c>
      <c r="F92" s="4">
        <v>5012</v>
      </c>
      <c r="G92" s="5">
        <v>210</v>
      </c>
      <c r="H92">
        <f>_xlfn.XLOOKUP(data1[[#This Row],[Product]],products[Product],products[Cost per unit])</f>
        <v>9.77</v>
      </c>
      <c r="I92">
        <f>data1[[#This Row],[Cost per unit]]*data1[[#This Row],[Units]]</f>
        <v>2051.6999999999998</v>
      </c>
    </row>
    <row r="93" spans="3:9" x14ac:dyDescent="0.3">
      <c r="C93" t="s">
        <v>7</v>
      </c>
      <c r="D93" t="s">
        <v>37</v>
      </c>
      <c r="E93" t="s">
        <v>22</v>
      </c>
      <c r="F93" s="4">
        <v>9835</v>
      </c>
      <c r="G93" s="5">
        <v>207</v>
      </c>
      <c r="H93">
        <f>_xlfn.XLOOKUP(data1[[#This Row],[Product]],products[Product],products[Cost per unit])</f>
        <v>9.77</v>
      </c>
      <c r="I93">
        <f>data1[[#This Row],[Cost per unit]]*data1[[#This Row],[Units]]</f>
        <v>2022.3899999999999</v>
      </c>
    </row>
    <row r="94" spans="3:9" x14ac:dyDescent="0.3">
      <c r="C94" t="s">
        <v>6</v>
      </c>
      <c r="D94" t="s">
        <v>34</v>
      </c>
      <c r="E94" t="s">
        <v>27</v>
      </c>
      <c r="F94" s="4">
        <v>4242</v>
      </c>
      <c r="G94" s="5">
        <v>207</v>
      </c>
      <c r="H94">
        <f>_xlfn.XLOOKUP(data1[[#This Row],[Product]],products[Product],products[Cost per unit])</f>
        <v>16.73</v>
      </c>
      <c r="I94">
        <f>data1[[#This Row],[Cost per unit]]*data1[[#This Row],[Units]]</f>
        <v>3463.11</v>
      </c>
    </row>
    <row r="95" spans="3:9" x14ac:dyDescent="0.3">
      <c r="C95" t="s">
        <v>9</v>
      </c>
      <c r="D95" t="s">
        <v>37</v>
      </c>
      <c r="E95" t="s">
        <v>4</v>
      </c>
      <c r="F95" s="4">
        <v>259</v>
      </c>
      <c r="G95" s="5">
        <v>207</v>
      </c>
      <c r="H95">
        <f>_xlfn.XLOOKUP(data1[[#This Row],[Product]],products[Product],products[Cost per unit])</f>
        <v>11.88</v>
      </c>
      <c r="I95">
        <f>data1[[#This Row],[Cost per unit]]*data1[[#This Row],[Units]]</f>
        <v>2459.1600000000003</v>
      </c>
    </row>
    <row r="96" spans="3:9" x14ac:dyDescent="0.3">
      <c r="C96" t="s">
        <v>9</v>
      </c>
      <c r="D96" t="s">
        <v>36</v>
      </c>
      <c r="E96" t="s">
        <v>27</v>
      </c>
      <c r="F96" s="4">
        <v>11522</v>
      </c>
      <c r="G96" s="5">
        <v>204</v>
      </c>
      <c r="H96">
        <f>_xlfn.XLOOKUP(data1[[#This Row],[Product]],products[Product],products[Cost per unit])</f>
        <v>16.73</v>
      </c>
      <c r="I96">
        <f>data1[[#This Row],[Cost per unit]]*data1[[#This Row],[Units]]</f>
        <v>3412.92</v>
      </c>
    </row>
    <row r="97" spans="3:9" x14ac:dyDescent="0.3">
      <c r="C97" t="s">
        <v>10</v>
      </c>
      <c r="D97" t="s">
        <v>34</v>
      </c>
      <c r="E97" t="s">
        <v>19</v>
      </c>
      <c r="F97" s="4">
        <v>5355</v>
      </c>
      <c r="G97" s="5">
        <v>204</v>
      </c>
      <c r="H97">
        <f>_xlfn.XLOOKUP(data1[[#This Row],[Product]],products[Product],products[Cost per unit])</f>
        <v>7.64</v>
      </c>
      <c r="I97">
        <f>data1[[#This Row],[Cost per unit]]*data1[[#This Row],[Units]]</f>
        <v>1558.56</v>
      </c>
    </row>
    <row r="98" spans="3:9" x14ac:dyDescent="0.3">
      <c r="C98" t="s">
        <v>9</v>
      </c>
      <c r="D98" t="s">
        <v>39</v>
      </c>
      <c r="E98" t="s">
        <v>18</v>
      </c>
      <c r="F98" s="4">
        <v>2639</v>
      </c>
      <c r="G98" s="5">
        <v>204</v>
      </c>
      <c r="H98">
        <f>_xlfn.XLOOKUP(data1[[#This Row],[Product]],products[Product],products[Cost per unit])</f>
        <v>6.47</v>
      </c>
      <c r="I98">
        <f>data1[[#This Row],[Cost per unit]]*data1[[#This Row],[Units]]</f>
        <v>1319.8799999999999</v>
      </c>
    </row>
    <row r="99" spans="3:9" x14ac:dyDescent="0.3">
      <c r="C99" t="s">
        <v>8</v>
      </c>
      <c r="D99" t="s">
        <v>37</v>
      </c>
      <c r="E99" t="s">
        <v>19</v>
      </c>
      <c r="F99" s="4">
        <v>1771</v>
      </c>
      <c r="G99" s="5">
        <v>204</v>
      </c>
      <c r="H99">
        <f>_xlfn.XLOOKUP(data1[[#This Row],[Product]],products[Product],products[Cost per unit])</f>
        <v>7.64</v>
      </c>
      <c r="I99">
        <f>data1[[#This Row],[Cost per unit]]*data1[[#This Row],[Units]]</f>
        <v>1558.56</v>
      </c>
    </row>
    <row r="100" spans="3:9" x14ac:dyDescent="0.3">
      <c r="C100" t="s">
        <v>41</v>
      </c>
      <c r="D100" t="s">
        <v>36</v>
      </c>
      <c r="E100" t="s">
        <v>26</v>
      </c>
      <c r="F100" s="4">
        <v>98</v>
      </c>
      <c r="G100" s="5">
        <v>204</v>
      </c>
      <c r="H100">
        <f>_xlfn.XLOOKUP(data1[[#This Row],[Product]],products[Product],products[Cost per unit])</f>
        <v>5.6</v>
      </c>
      <c r="I100">
        <f>data1[[#This Row],[Cost per unit]]*data1[[#This Row],[Units]]</f>
        <v>1142.3999999999999</v>
      </c>
    </row>
    <row r="101" spans="3:9" x14ac:dyDescent="0.3">
      <c r="C101" t="s">
        <v>5</v>
      </c>
      <c r="D101" t="s">
        <v>35</v>
      </c>
      <c r="E101" t="s">
        <v>15</v>
      </c>
      <c r="F101" s="4">
        <v>13391</v>
      </c>
      <c r="G101" s="5">
        <v>201</v>
      </c>
      <c r="H101">
        <f>_xlfn.XLOOKUP(data1[[#This Row],[Product]],products[Product],products[Cost per unit])</f>
        <v>11.73</v>
      </c>
      <c r="I101">
        <f>data1[[#This Row],[Cost per unit]]*data1[[#This Row],[Units]]</f>
        <v>2357.73</v>
      </c>
    </row>
    <row r="102" spans="3:9" x14ac:dyDescent="0.3">
      <c r="C102" t="s">
        <v>2</v>
      </c>
      <c r="D102" t="s">
        <v>37</v>
      </c>
      <c r="E102" t="s">
        <v>17</v>
      </c>
      <c r="F102" s="4">
        <v>9926</v>
      </c>
      <c r="G102" s="5">
        <v>201</v>
      </c>
      <c r="H102">
        <f>_xlfn.XLOOKUP(data1[[#This Row],[Product]],products[Product],products[Cost per unit])</f>
        <v>3.11</v>
      </c>
      <c r="I102">
        <f>data1[[#This Row],[Cost per unit]]*data1[[#This Row],[Units]]</f>
        <v>625.11</v>
      </c>
    </row>
    <row r="103" spans="3:9" x14ac:dyDescent="0.3">
      <c r="C103" t="s">
        <v>5</v>
      </c>
      <c r="D103" t="s">
        <v>34</v>
      </c>
      <c r="E103" t="s">
        <v>15</v>
      </c>
      <c r="F103" s="4">
        <v>7280</v>
      </c>
      <c r="G103" s="5">
        <v>201</v>
      </c>
      <c r="H103">
        <f>_xlfn.XLOOKUP(data1[[#This Row],[Product]],products[Product],products[Cost per unit])</f>
        <v>11.73</v>
      </c>
      <c r="I103">
        <f>data1[[#This Row],[Cost per unit]]*data1[[#This Row],[Units]]</f>
        <v>2357.73</v>
      </c>
    </row>
    <row r="104" spans="3:9" x14ac:dyDescent="0.3">
      <c r="C104" t="s">
        <v>40</v>
      </c>
      <c r="D104" t="s">
        <v>36</v>
      </c>
      <c r="E104" t="s">
        <v>13</v>
      </c>
      <c r="F104" s="4">
        <v>4424</v>
      </c>
      <c r="G104" s="5">
        <v>201</v>
      </c>
      <c r="H104">
        <f>_xlfn.XLOOKUP(data1[[#This Row],[Product]],products[Product],products[Cost per unit])</f>
        <v>9.33</v>
      </c>
      <c r="I104">
        <f>data1[[#This Row],[Cost per unit]]*data1[[#This Row],[Units]]</f>
        <v>1875.33</v>
      </c>
    </row>
    <row r="105" spans="3:9" x14ac:dyDescent="0.3">
      <c r="C105" t="s">
        <v>7</v>
      </c>
      <c r="D105" t="s">
        <v>39</v>
      </c>
      <c r="E105" t="s">
        <v>27</v>
      </c>
      <c r="F105" s="4">
        <v>966</v>
      </c>
      <c r="G105" s="5">
        <v>198</v>
      </c>
      <c r="H105">
        <f>_xlfn.XLOOKUP(data1[[#This Row],[Product]],products[Product],products[Cost per unit])</f>
        <v>16.73</v>
      </c>
      <c r="I105">
        <f>data1[[#This Row],[Cost per unit]]*data1[[#This Row],[Units]]</f>
        <v>3312.54</v>
      </c>
    </row>
    <row r="106" spans="3:9" x14ac:dyDescent="0.3">
      <c r="C106" t="s">
        <v>10</v>
      </c>
      <c r="D106" t="s">
        <v>35</v>
      </c>
      <c r="E106" t="s">
        <v>20</v>
      </c>
      <c r="F106" s="4">
        <v>1974</v>
      </c>
      <c r="G106" s="5">
        <v>195</v>
      </c>
      <c r="H106">
        <f>_xlfn.XLOOKUP(data1[[#This Row],[Product]],products[Product],products[Cost per unit])</f>
        <v>10.62</v>
      </c>
      <c r="I106">
        <f>data1[[#This Row],[Cost per unit]]*data1[[#This Row],[Units]]</f>
        <v>2070.8999999999996</v>
      </c>
    </row>
    <row r="107" spans="3:9" x14ac:dyDescent="0.3">
      <c r="C107" t="s">
        <v>8</v>
      </c>
      <c r="D107" t="s">
        <v>37</v>
      </c>
      <c r="E107" t="s">
        <v>22</v>
      </c>
      <c r="F107" s="4">
        <v>1890</v>
      </c>
      <c r="G107" s="5">
        <v>195</v>
      </c>
      <c r="H107">
        <f>_xlfn.XLOOKUP(data1[[#This Row],[Product]],products[Product],products[Cost per unit])</f>
        <v>9.77</v>
      </c>
      <c r="I107">
        <f>data1[[#This Row],[Cost per unit]]*data1[[#This Row],[Units]]</f>
        <v>1905.1499999999999</v>
      </c>
    </row>
    <row r="108" spans="3:9" x14ac:dyDescent="0.3">
      <c r="C108" t="s">
        <v>5</v>
      </c>
      <c r="D108" t="s">
        <v>34</v>
      </c>
      <c r="E108" t="s">
        <v>19</v>
      </c>
      <c r="F108" s="4">
        <v>861</v>
      </c>
      <c r="G108" s="5">
        <v>195</v>
      </c>
      <c r="H108">
        <f>_xlfn.XLOOKUP(data1[[#This Row],[Product]],products[Product],products[Cost per unit])</f>
        <v>7.64</v>
      </c>
      <c r="I108">
        <f>data1[[#This Row],[Cost per unit]]*data1[[#This Row],[Units]]</f>
        <v>1489.8</v>
      </c>
    </row>
    <row r="109" spans="3:9" x14ac:dyDescent="0.3">
      <c r="C109" t="s">
        <v>41</v>
      </c>
      <c r="D109" t="s">
        <v>36</v>
      </c>
      <c r="E109" t="s">
        <v>19</v>
      </c>
      <c r="F109" s="4">
        <v>1925</v>
      </c>
      <c r="G109" s="5">
        <v>192</v>
      </c>
      <c r="H109">
        <f>_xlfn.XLOOKUP(data1[[#This Row],[Product]],products[Product],products[Cost per unit])</f>
        <v>7.64</v>
      </c>
      <c r="I109">
        <f>data1[[#This Row],[Cost per unit]]*data1[[#This Row],[Units]]</f>
        <v>1466.8799999999999</v>
      </c>
    </row>
    <row r="110" spans="3:9" x14ac:dyDescent="0.3">
      <c r="C110" t="s">
        <v>7</v>
      </c>
      <c r="D110" t="s">
        <v>34</v>
      </c>
      <c r="E110" t="s">
        <v>24</v>
      </c>
      <c r="F110" s="4">
        <v>8862</v>
      </c>
      <c r="G110" s="5">
        <v>189</v>
      </c>
      <c r="H110">
        <f>_xlfn.XLOOKUP(data1[[#This Row],[Product]],products[Product],products[Cost per unit])</f>
        <v>4.97</v>
      </c>
      <c r="I110">
        <f>data1[[#This Row],[Cost per unit]]*data1[[#This Row],[Units]]</f>
        <v>939.32999999999993</v>
      </c>
    </row>
    <row r="111" spans="3:9" x14ac:dyDescent="0.3">
      <c r="C111" t="s">
        <v>6</v>
      </c>
      <c r="D111" t="s">
        <v>37</v>
      </c>
      <c r="E111" t="s">
        <v>23</v>
      </c>
      <c r="F111" s="4">
        <v>4949</v>
      </c>
      <c r="G111" s="5">
        <v>189</v>
      </c>
      <c r="H111">
        <f>_xlfn.XLOOKUP(data1[[#This Row],[Product]],products[Product],products[Cost per unit])</f>
        <v>6.49</v>
      </c>
      <c r="I111">
        <f>data1[[#This Row],[Cost per unit]]*data1[[#This Row],[Units]]</f>
        <v>1226.6100000000001</v>
      </c>
    </row>
    <row r="112" spans="3:9" x14ac:dyDescent="0.3">
      <c r="C112" t="s">
        <v>9</v>
      </c>
      <c r="D112" t="s">
        <v>36</v>
      </c>
      <c r="E112" t="s">
        <v>32</v>
      </c>
      <c r="F112" s="4">
        <v>2954</v>
      </c>
      <c r="G112" s="5">
        <v>189</v>
      </c>
      <c r="H112">
        <f>_xlfn.XLOOKUP(data1[[#This Row],[Product]],products[Product],products[Cost per unit])</f>
        <v>8.65</v>
      </c>
      <c r="I112">
        <f>data1[[#This Row],[Cost per unit]]*data1[[#This Row],[Units]]</f>
        <v>1634.8500000000001</v>
      </c>
    </row>
    <row r="113" spans="3:9" x14ac:dyDescent="0.3">
      <c r="C113" t="s">
        <v>9</v>
      </c>
      <c r="D113" t="s">
        <v>34</v>
      </c>
      <c r="E113" t="s">
        <v>16</v>
      </c>
      <c r="F113" s="4">
        <v>938</v>
      </c>
      <c r="G113" s="5">
        <v>189</v>
      </c>
      <c r="H113">
        <f>_xlfn.XLOOKUP(data1[[#This Row],[Product]],products[Product],products[Cost per unit])</f>
        <v>8.7899999999999991</v>
      </c>
      <c r="I113">
        <f>data1[[#This Row],[Cost per unit]]*data1[[#This Row],[Units]]</f>
        <v>1661.31</v>
      </c>
    </row>
    <row r="114" spans="3:9" x14ac:dyDescent="0.3">
      <c r="C114" t="s">
        <v>41</v>
      </c>
      <c r="D114" t="s">
        <v>35</v>
      </c>
      <c r="E114" t="s">
        <v>15</v>
      </c>
      <c r="F114" s="4">
        <v>2114</v>
      </c>
      <c r="G114" s="5">
        <v>186</v>
      </c>
      <c r="H114">
        <f>_xlfn.XLOOKUP(data1[[#This Row],[Product]],products[Product],products[Cost per unit])</f>
        <v>11.73</v>
      </c>
      <c r="I114">
        <f>data1[[#This Row],[Cost per unit]]*data1[[#This Row],[Units]]</f>
        <v>2181.7800000000002</v>
      </c>
    </row>
    <row r="115" spans="3:9" x14ac:dyDescent="0.3">
      <c r="C115" t="s">
        <v>8</v>
      </c>
      <c r="D115" t="s">
        <v>39</v>
      </c>
      <c r="E115" t="s">
        <v>30</v>
      </c>
      <c r="F115" s="4">
        <v>7021</v>
      </c>
      <c r="G115" s="5">
        <v>183</v>
      </c>
      <c r="H115">
        <f>_xlfn.XLOOKUP(data1[[#This Row],[Product]],products[Product],products[Cost per unit])</f>
        <v>14.49</v>
      </c>
      <c r="I115">
        <f>data1[[#This Row],[Cost per unit]]*data1[[#This Row],[Units]]</f>
        <v>2651.67</v>
      </c>
    </row>
    <row r="116" spans="3:9" x14ac:dyDescent="0.3">
      <c r="C116" t="s">
        <v>2</v>
      </c>
      <c r="D116" t="s">
        <v>38</v>
      </c>
      <c r="E116" t="s">
        <v>28</v>
      </c>
      <c r="F116" s="4">
        <v>6580</v>
      </c>
      <c r="G116" s="5">
        <v>183</v>
      </c>
      <c r="H116">
        <f>_xlfn.XLOOKUP(data1[[#This Row],[Product]],products[Product],products[Cost per unit])</f>
        <v>10.38</v>
      </c>
      <c r="I116">
        <f>data1[[#This Row],[Cost per unit]]*data1[[#This Row],[Units]]</f>
        <v>1899.5400000000002</v>
      </c>
    </row>
    <row r="117" spans="3:9" x14ac:dyDescent="0.3">
      <c r="C117" t="s">
        <v>6</v>
      </c>
      <c r="D117" t="s">
        <v>35</v>
      </c>
      <c r="E117" t="s">
        <v>27</v>
      </c>
      <c r="F117" s="4">
        <v>3864</v>
      </c>
      <c r="G117" s="5">
        <v>177</v>
      </c>
      <c r="H117">
        <f>_xlfn.XLOOKUP(data1[[#This Row],[Product]],products[Product],products[Cost per unit])</f>
        <v>16.73</v>
      </c>
      <c r="I117">
        <f>data1[[#This Row],[Cost per unit]]*data1[[#This Row],[Units]]</f>
        <v>2961.21</v>
      </c>
    </row>
    <row r="118" spans="3:9" x14ac:dyDescent="0.3">
      <c r="C118" t="s">
        <v>7</v>
      </c>
      <c r="D118" t="s">
        <v>36</v>
      </c>
      <c r="E118" t="s">
        <v>18</v>
      </c>
      <c r="F118" s="4">
        <v>2646</v>
      </c>
      <c r="G118" s="5">
        <v>177</v>
      </c>
      <c r="H118">
        <f>_xlfn.XLOOKUP(data1[[#This Row],[Product]],products[Product],products[Cost per unit])</f>
        <v>6.47</v>
      </c>
      <c r="I118">
        <f>data1[[#This Row],[Cost per unit]]*data1[[#This Row],[Units]]</f>
        <v>1145.19</v>
      </c>
    </row>
    <row r="119" spans="3:9" x14ac:dyDescent="0.3">
      <c r="C119" t="s">
        <v>41</v>
      </c>
      <c r="D119" t="s">
        <v>37</v>
      </c>
      <c r="E119" t="s">
        <v>26</v>
      </c>
      <c r="F119" s="4">
        <v>2324</v>
      </c>
      <c r="G119" s="5">
        <v>177</v>
      </c>
      <c r="H119">
        <f>_xlfn.XLOOKUP(data1[[#This Row],[Product]],products[Product],products[Cost per unit])</f>
        <v>5.6</v>
      </c>
      <c r="I119">
        <f>data1[[#This Row],[Cost per unit]]*data1[[#This Row],[Units]]</f>
        <v>991.19999999999993</v>
      </c>
    </row>
    <row r="120" spans="3:9" x14ac:dyDescent="0.3">
      <c r="C120" t="s">
        <v>41</v>
      </c>
      <c r="D120" t="s">
        <v>34</v>
      </c>
      <c r="E120" t="s">
        <v>33</v>
      </c>
      <c r="F120" s="4">
        <v>7847</v>
      </c>
      <c r="G120" s="5">
        <v>174</v>
      </c>
      <c r="H120">
        <f>_xlfn.XLOOKUP(data1[[#This Row],[Product]],products[Product],products[Cost per unit])</f>
        <v>12.37</v>
      </c>
      <c r="I120">
        <f>data1[[#This Row],[Cost per unit]]*data1[[#This Row],[Units]]</f>
        <v>2152.3799999999997</v>
      </c>
    </row>
    <row r="121" spans="3:9" x14ac:dyDescent="0.3">
      <c r="C121" t="s">
        <v>41</v>
      </c>
      <c r="D121" t="s">
        <v>36</v>
      </c>
      <c r="E121" t="s">
        <v>30</v>
      </c>
      <c r="F121" s="4">
        <v>6118</v>
      </c>
      <c r="G121" s="5">
        <v>174</v>
      </c>
      <c r="H121">
        <f>_xlfn.XLOOKUP(data1[[#This Row],[Product]],products[Product],products[Cost per unit])</f>
        <v>14.49</v>
      </c>
      <c r="I121">
        <f>data1[[#This Row],[Cost per unit]]*data1[[#This Row],[Units]]</f>
        <v>2521.2600000000002</v>
      </c>
    </row>
    <row r="122" spans="3:9" x14ac:dyDescent="0.3">
      <c r="C122" t="s">
        <v>40</v>
      </c>
      <c r="D122" t="s">
        <v>35</v>
      </c>
      <c r="E122" t="s">
        <v>16</v>
      </c>
      <c r="F122" s="4">
        <v>4725</v>
      </c>
      <c r="G122" s="5">
        <v>174</v>
      </c>
      <c r="H122">
        <f>_xlfn.XLOOKUP(data1[[#This Row],[Product]],products[Product],products[Cost per unit])</f>
        <v>8.7899999999999991</v>
      </c>
      <c r="I122">
        <f>data1[[#This Row],[Cost per unit]]*data1[[#This Row],[Units]]</f>
        <v>1529.4599999999998</v>
      </c>
    </row>
    <row r="123" spans="3:9" x14ac:dyDescent="0.3">
      <c r="C123" t="s">
        <v>9</v>
      </c>
      <c r="D123" t="s">
        <v>34</v>
      </c>
      <c r="E123" t="s">
        <v>17</v>
      </c>
      <c r="F123" s="4">
        <v>707</v>
      </c>
      <c r="G123" s="5">
        <v>174</v>
      </c>
      <c r="H123">
        <f>_xlfn.XLOOKUP(data1[[#This Row],[Product]],products[Product],products[Cost per unit])</f>
        <v>3.11</v>
      </c>
      <c r="I123">
        <f>data1[[#This Row],[Cost per unit]]*data1[[#This Row],[Units]]</f>
        <v>541.14</v>
      </c>
    </row>
    <row r="124" spans="3:9" x14ac:dyDescent="0.3">
      <c r="C124" t="s">
        <v>3</v>
      </c>
      <c r="D124" t="s">
        <v>39</v>
      </c>
      <c r="E124" t="s">
        <v>26</v>
      </c>
      <c r="F124" s="4">
        <v>4956</v>
      </c>
      <c r="G124" s="5">
        <v>171</v>
      </c>
      <c r="H124">
        <f>_xlfn.XLOOKUP(data1[[#This Row],[Product]],products[Product],products[Cost per unit])</f>
        <v>5.6</v>
      </c>
      <c r="I124">
        <f>data1[[#This Row],[Cost per unit]]*data1[[#This Row],[Units]]</f>
        <v>957.59999999999991</v>
      </c>
    </row>
    <row r="125" spans="3:9" x14ac:dyDescent="0.3">
      <c r="C125" t="s">
        <v>5</v>
      </c>
      <c r="D125" t="s">
        <v>39</v>
      </c>
      <c r="E125" t="s">
        <v>24</v>
      </c>
      <c r="F125" s="4">
        <v>4018</v>
      </c>
      <c r="G125" s="5">
        <v>171</v>
      </c>
      <c r="H125">
        <f>_xlfn.XLOOKUP(data1[[#This Row],[Product]],products[Product],products[Cost per unit])</f>
        <v>4.97</v>
      </c>
      <c r="I125">
        <f>data1[[#This Row],[Cost per unit]]*data1[[#This Row],[Units]]</f>
        <v>849.87</v>
      </c>
    </row>
    <row r="126" spans="3:9" x14ac:dyDescent="0.3">
      <c r="C126" t="s">
        <v>5</v>
      </c>
      <c r="D126" t="s">
        <v>38</v>
      </c>
      <c r="E126" t="s">
        <v>19</v>
      </c>
      <c r="F126" s="4">
        <v>5474</v>
      </c>
      <c r="G126" s="5">
        <v>168</v>
      </c>
      <c r="H126">
        <f>_xlfn.XLOOKUP(data1[[#This Row],[Product]],products[Product],products[Cost per unit])</f>
        <v>7.64</v>
      </c>
      <c r="I126">
        <f>data1[[#This Row],[Cost per unit]]*data1[[#This Row],[Units]]</f>
        <v>1283.52</v>
      </c>
    </row>
    <row r="127" spans="3:9" x14ac:dyDescent="0.3">
      <c r="C127" t="s">
        <v>8</v>
      </c>
      <c r="D127" t="s">
        <v>35</v>
      </c>
      <c r="E127" t="s">
        <v>29</v>
      </c>
      <c r="F127" s="4">
        <v>2023</v>
      </c>
      <c r="G127" s="5">
        <v>168</v>
      </c>
      <c r="H127">
        <f>_xlfn.XLOOKUP(data1[[#This Row],[Product]],products[Product],products[Cost per unit])</f>
        <v>7.16</v>
      </c>
      <c r="I127">
        <f>data1[[#This Row],[Cost per unit]]*data1[[#This Row],[Units]]</f>
        <v>1202.8800000000001</v>
      </c>
    </row>
    <row r="128" spans="3:9" x14ac:dyDescent="0.3">
      <c r="C128" t="s">
        <v>3</v>
      </c>
      <c r="D128" t="s">
        <v>39</v>
      </c>
      <c r="E128" t="s">
        <v>16</v>
      </c>
      <c r="F128" s="4">
        <v>21</v>
      </c>
      <c r="G128" s="5">
        <v>168</v>
      </c>
      <c r="H128">
        <f>_xlfn.XLOOKUP(data1[[#This Row],[Product]],products[Product],products[Cost per unit])</f>
        <v>8.7899999999999991</v>
      </c>
      <c r="I128">
        <f>data1[[#This Row],[Cost per unit]]*data1[[#This Row],[Units]]</f>
        <v>1476.7199999999998</v>
      </c>
    </row>
    <row r="129" spans="3:9" x14ac:dyDescent="0.3">
      <c r="C129" t="s">
        <v>3</v>
      </c>
      <c r="D129" t="s">
        <v>36</v>
      </c>
      <c r="E129" t="s">
        <v>23</v>
      </c>
      <c r="F129" s="4">
        <v>3773</v>
      </c>
      <c r="G129" s="5">
        <v>165</v>
      </c>
      <c r="H129">
        <f>_xlfn.XLOOKUP(data1[[#This Row],[Product]],products[Product],products[Cost per unit])</f>
        <v>6.49</v>
      </c>
      <c r="I129">
        <f>data1[[#This Row],[Cost per unit]]*data1[[#This Row],[Units]]</f>
        <v>1070.8500000000001</v>
      </c>
    </row>
    <row r="130" spans="3:9" x14ac:dyDescent="0.3">
      <c r="C130" t="s">
        <v>2</v>
      </c>
      <c r="D130" t="s">
        <v>39</v>
      </c>
      <c r="E130" t="s">
        <v>20</v>
      </c>
      <c r="F130" s="4">
        <v>9443</v>
      </c>
      <c r="G130" s="5">
        <v>162</v>
      </c>
      <c r="H130">
        <f>_xlfn.XLOOKUP(data1[[#This Row],[Product]],products[Product],products[Cost per unit])</f>
        <v>10.62</v>
      </c>
      <c r="I130">
        <f>data1[[#This Row],[Cost per unit]]*data1[[#This Row],[Units]]</f>
        <v>1720.4399999999998</v>
      </c>
    </row>
    <row r="131" spans="3:9" x14ac:dyDescent="0.3">
      <c r="C131" t="s">
        <v>40</v>
      </c>
      <c r="D131" t="s">
        <v>34</v>
      </c>
      <c r="E131" t="s">
        <v>19</v>
      </c>
      <c r="F131" s="4">
        <v>4018</v>
      </c>
      <c r="G131" s="5">
        <v>162</v>
      </c>
      <c r="H131">
        <f>_xlfn.XLOOKUP(data1[[#This Row],[Product]],products[Product],products[Cost per unit])</f>
        <v>7.64</v>
      </c>
      <c r="I131">
        <f>data1[[#This Row],[Cost per unit]]*data1[[#This Row],[Units]]</f>
        <v>1237.6799999999998</v>
      </c>
    </row>
    <row r="132" spans="3:9" x14ac:dyDescent="0.3">
      <c r="C132" t="s">
        <v>3</v>
      </c>
      <c r="D132" t="s">
        <v>36</v>
      </c>
      <c r="E132" t="s">
        <v>28</v>
      </c>
      <c r="F132" s="4">
        <v>973</v>
      </c>
      <c r="G132" s="5">
        <v>162</v>
      </c>
      <c r="H132">
        <f>_xlfn.XLOOKUP(data1[[#This Row],[Product]],products[Product],products[Cost per unit])</f>
        <v>10.38</v>
      </c>
      <c r="I132">
        <f>data1[[#This Row],[Cost per unit]]*data1[[#This Row],[Units]]</f>
        <v>1681.5600000000002</v>
      </c>
    </row>
    <row r="133" spans="3:9" x14ac:dyDescent="0.3">
      <c r="C133" t="s">
        <v>40</v>
      </c>
      <c r="D133" t="s">
        <v>34</v>
      </c>
      <c r="E133" t="s">
        <v>33</v>
      </c>
      <c r="F133" s="4">
        <v>3794</v>
      </c>
      <c r="G133" s="5">
        <v>159</v>
      </c>
      <c r="H133">
        <f>_xlfn.XLOOKUP(data1[[#This Row],[Product]],products[Product],products[Cost per unit])</f>
        <v>12.37</v>
      </c>
      <c r="I133">
        <f>data1[[#This Row],[Cost per unit]]*data1[[#This Row],[Units]]</f>
        <v>1966.83</v>
      </c>
    </row>
    <row r="134" spans="3:9" x14ac:dyDescent="0.3">
      <c r="C134" t="s">
        <v>9</v>
      </c>
      <c r="D134" t="s">
        <v>35</v>
      </c>
      <c r="E134" t="s">
        <v>26</v>
      </c>
      <c r="F134" s="4">
        <v>98</v>
      </c>
      <c r="G134" s="5">
        <v>159</v>
      </c>
      <c r="H134">
        <f>_xlfn.XLOOKUP(data1[[#This Row],[Product]],products[Product],products[Cost per unit])</f>
        <v>5.6</v>
      </c>
      <c r="I134">
        <f>data1[[#This Row],[Cost per unit]]*data1[[#This Row],[Units]]</f>
        <v>890.4</v>
      </c>
    </row>
    <row r="135" spans="3:9" x14ac:dyDescent="0.3">
      <c r="C135" t="s">
        <v>40</v>
      </c>
      <c r="D135" t="s">
        <v>34</v>
      </c>
      <c r="E135" t="s">
        <v>17</v>
      </c>
      <c r="F135" s="4">
        <v>5019</v>
      </c>
      <c r="G135" s="5">
        <v>156</v>
      </c>
      <c r="H135">
        <f>_xlfn.XLOOKUP(data1[[#This Row],[Product]],products[Product],products[Cost per unit])</f>
        <v>3.11</v>
      </c>
      <c r="I135">
        <f>data1[[#This Row],[Cost per unit]]*data1[[#This Row],[Units]]</f>
        <v>485.15999999999997</v>
      </c>
    </row>
    <row r="136" spans="3:9" x14ac:dyDescent="0.3">
      <c r="C136" t="s">
        <v>6</v>
      </c>
      <c r="D136" t="s">
        <v>36</v>
      </c>
      <c r="E136" t="s">
        <v>17</v>
      </c>
      <c r="F136" s="4">
        <v>4970</v>
      </c>
      <c r="G136" s="5">
        <v>156</v>
      </c>
      <c r="H136">
        <f>_xlfn.XLOOKUP(data1[[#This Row],[Product]],products[Product],products[Cost per unit])</f>
        <v>3.11</v>
      </c>
      <c r="I136">
        <f>data1[[#This Row],[Cost per unit]]*data1[[#This Row],[Units]]</f>
        <v>485.15999999999997</v>
      </c>
    </row>
    <row r="137" spans="3:9" x14ac:dyDescent="0.3">
      <c r="C137" t="s">
        <v>9</v>
      </c>
      <c r="D137" t="s">
        <v>37</v>
      </c>
      <c r="E137" t="s">
        <v>25</v>
      </c>
      <c r="F137" s="4">
        <v>4305</v>
      </c>
      <c r="G137" s="5">
        <v>156</v>
      </c>
      <c r="H137">
        <f>_xlfn.XLOOKUP(data1[[#This Row],[Product]],products[Product],products[Cost per unit])</f>
        <v>13.15</v>
      </c>
      <c r="I137">
        <f>data1[[#This Row],[Cost per unit]]*data1[[#This Row],[Units]]</f>
        <v>2051.4</v>
      </c>
    </row>
    <row r="138" spans="3:9" x14ac:dyDescent="0.3">
      <c r="C138" t="s">
        <v>2</v>
      </c>
      <c r="D138" t="s">
        <v>38</v>
      </c>
      <c r="E138" t="s">
        <v>23</v>
      </c>
      <c r="F138" s="4">
        <v>4417</v>
      </c>
      <c r="G138" s="5">
        <v>153</v>
      </c>
      <c r="H138">
        <f>_xlfn.XLOOKUP(data1[[#This Row],[Product]],products[Product],products[Cost per unit])</f>
        <v>6.49</v>
      </c>
      <c r="I138">
        <f>data1[[#This Row],[Cost per unit]]*data1[[#This Row],[Units]]</f>
        <v>992.97</v>
      </c>
    </row>
    <row r="139" spans="3:9" x14ac:dyDescent="0.3">
      <c r="C139" t="s">
        <v>9</v>
      </c>
      <c r="D139" t="s">
        <v>34</v>
      </c>
      <c r="E139" t="s">
        <v>28</v>
      </c>
      <c r="F139" s="4">
        <v>14329</v>
      </c>
      <c r="G139" s="5">
        <v>150</v>
      </c>
      <c r="H139">
        <f>_xlfn.XLOOKUP(data1[[#This Row],[Product]],products[Product],products[Cost per unit])</f>
        <v>10.38</v>
      </c>
      <c r="I139">
        <f>data1[[#This Row],[Cost per unit]]*data1[[#This Row],[Units]]</f>
        <v>1557.0000000000002</v>
      </c>
    </row>
    <row r="140" spans="3:9" x14ac:dyDescent="0.3">
      <c r="C140" t="s">
        <v>8</v>
      </c>
      <c r="D140" t="s">
        <v>36</v>
      </c>
      <c r="E140" t="s">
        <v>23</v>
      </c>
      <c r="F140" s="4">
        <v>5019</v>
      </c>
      <c r="G140" s="5">
        <v>150</v>
      </c>
      <c r="H140">
        <f>_xlfn.XLOOKUP(data1[[#This Row],[Product]],products[Product],products[Cost per unit])</f>
        <v>6.49</v>
      </c>
      <c r="I140">
        <f>data1[[#This Row],[Cost per unit]]*data1[[#This Row],[Units]]</f>
        <v>973.5</v>
      </c>
    </row>
    <row r="141" spans="3:9" x14ac:dyDescent="0.3">
      <c r="C141" t="s">
        <v>6</v>
      </c>
      <c r="D141" t="s">
        <v>34</v>
      </c>
      <c r="E141" t="s">
        <v>17</v>
      </c>
      <c r="F141" s="4">
        <v>3759</v>
      </c>
      <c r="G141" s="5">
        <v>150</v>
      </c>
      <c r="H141">
        <f>_xlfn.XLOOKUP(data1[[#This Row],[Product]],products[Product],products[Cost per unit])</f>
        <v>3.11</v>
      </c>
      <c r="I141">
        <f>data1[[#This Row],[Cost per unit]]*data1[[#This Row],[Units]]</f>
        <v>466.5</v>
      </c>
    </row>
    <row r="142" spans="3:9" x14ac:dyDescent="0.3">
      <c r="C142" t="s">
        <v>8</v>
      </c>
      <c r="D142" t="s">
        <v>37</v>
      </c>
      <c r="E142" t="s">
        <v>30</v>
      </c>
      <c r="F142" s="4">
        <v>42</v>
      </c>
      <c r="G142" s="5">
        <v>150</v>
      </c>
      <c r="H142">
        <f>_xlfn.XLOOKUP(data1[[#This Row],[Product]],products[Product],products[Cost per unit])</f>
        <v>14.49</v>
      </c>
      <c r="I142">
        <f>data1[[#This Row],[Cost per unit]]*data1[[#This Row],[Units]]</f>
        <v>2173.5</v>
      </c>
    </row>
    <row r="143" spans="3:9" x14ac:dyDescent="0.3">
      <c r="C143" t="s">
        <v>9</v>
      </c>
      <c r="D143" t="s">
        <v>35</v>
      </c>
      <c r="E143" t="s">
        <v>4</v>
      </c>
      <c r="F143" s="4">
        <v>959</v>
      </c>
      <c r="G143" s="5">
        <v>147</v>
      </c>
      <c r="H143">
        <f>_xlfn.XLOOKUP(data1[[#This Row],[Product]],products[Product],products[Cost per unit])</f>
        <v>11.88</v>
      </c>
      <c r="I143">
        <f>data1[[#This Row],[Cost per unit]]*data1[[#This Row],[Units]]</f>
        <v>1746.3600000000001</v>
      </c>
    </row>
    <row r="144" spans="3:9" x14ac:dyDescent="0.3">
      <c r="C144" t="s">
        <v>2</v>
      </c>
      <c r="D144" t="s">
        <v>39</v>
      </c>
      <c r="E144" t="s">
        <v>28</v>
      </c>
      <c r="F144" s="4">
        <v>6027</v>
      </c>
      <c r="G144" s="5">
        <v>144</v>
      </c>
      <c r="H144">
        <f>_xlfn.XLOOKUP(data1[[#This Row],[Product]],products[Product],products[Cost per unit])</f>
        <v>10.38</v>
      </c>
      <c r="I144">
        <f>data1[[#This Row],[Cost per unit]]*data1[[#This Row],[Units]]</f>
        <v>1494.72</v>
      </c>
    </row>
    <row r="145" spans="3:9" x14ac:dyDescent="0.3">
      <c r="C145" t="s">
        <v>3</v>
      </c>
      <c r="D145" t="s">
        <v>37</v>
      </c>
      <c r="E145" t="s">
        <v>17</v>
      </c>
      <c r="F145" s="4">
        <v>3983</v>
      </c>
      <c r="G145" s="5">
        <v>144</v>
      </c>
      <c r="H145">
        <f>_xlfn.XLOOKUP(data1[[#This Row],[Product]],products[Product],products[Cost per unit])</f>
        <v>3.11</v>
      </c>
      <c r="I145">
        <f>data1[[#This Row],[Cost per unit]]*data1[[#This Row],[Units]]</f>
        <v>447.84</v>
      </c>
    </row>
    <row r="146" spans="3:9" x14ac:dyDescent="0.3">
      <c r="C146" t="s">
        <v>9</v>
      </c>
      <c r="D146" t="s">
        <v>35</v>
      </c>
      <c r="E146" t="s">
        <v>27</v>
      </c>
      <c r="F146" s="4">
        <v>2429</v>
      </c>
      <c r="G146" s="5">
        <v>144</v>
      </c>
      <c r="H146">
        <f>_xlfn.XLOOKUP(data1[[#This Row],[Product]],products[Product],products[Cost per unit])</f>
        <v>16.73</v>
      </c>
      <c r="I146">
        <f>data1[[#This Row],[Cost per unit]]*data1[[#This Row],[Units]]</f>
        <v>2409.12</v>
      </c>
    </row>
    <row r="147" spans="3:9" x14ac:dyDescent="0.3">
      <c r="C147" t="s">
        <v>41</v>
      </c>
      <c r="D147" t="s">
        <v>34</v>
      </c>
      <c r="E147" t="s">
        <v>22</v>
      </c>
      <c r="F147" s="4">
        <v>336</v>
      </c>
      <c r="G147" s="5">
        <v>144</v>
      </c>
      <c r="H147">
        <f>_xlfn.XLOOKUP(data1[[#This Row],[Product]],products[Product],products[Cost per unit])</f>
        <v>9.77</v>
      </c>
      <c r="I147">
        <f>data1[[#This Row],[Cost per unit]]*data1[[#This Row],[Units]]</f>
        <v>1406.8799999999999</v>
      </c>
    </row>
    <row r="148" spans="3:9" x14ac:dyDescent="0.3">
      <c r="C148" t="s">
        <v>10</v>
      </c>
      <c r="D148" t="s">
        <v>38</v>
      </c>
      <c r="E148" t="s">
        <v>22</v>
      </c>
      <c r="F148" s="4">
        <v>2205</v>
      </c>
      <c r="G148" s="5">
        <v>141</v>
      </c>
      <c r="H148">
        <f>_xlfn.XLOOKUP(data1[[#This Row],[Product]],products[Product],products[Cost per unit])</f>
        <v>9.77</v>
      </c>
      <c r="I148">
        <f>data1[[#This Row],[Cost per unit]]*data1[[#This Row],[Units]]</f>
        <v>1377.57</v>
      </c>
    </row>
    <row r="149" spans="3:9" x14ac:dyDescent="0.3">
      <c r="C149" t="s">
        <v>2</v>
      </c>
      <c r="D149" t="s">
        <v>39</v>
      </c>
      <c r="E149" t="s">
        <v>22</v>
      </c>
      <c r="F149" s="4">
        <v>1568</v>
      </c>
      <c r="G149" s="5">
        <v>141</v>
      </c>
      <c r="H149">
        <f>_xlfn.XLOOKUP(data1[[#This Row],[Product]],products[Product],products[Cost per unit])</f>
        <v>9.77</v>
      </c>
      <c r="I149">
        <f>data1[[#This Row],[Cost per unit]]*data1[[#This Row],[Units]]</f>
        <v>1377.57</v>
      </c>
    </row>
    <row r="150" spans="3:9" x14ac:dyDescent="0.3">
      <c r="C150" t="s">
        <v>2</v>
      </c>
      <c r="D150" t="s">
        <v>37</v>
      </c>
      <c r="E150" t="s">
        <v>18</v>
      </c>
      <c r="F150" s="4">
        <v>11571</v>
      </c>
      <c r="G150" s="5">
        <v>138</v>
      </c>
      <c r="H150">
        <f>_xlfn.XLOOKUP(data1[[#This Row],[Product]],products[Product],products[Cost per unit])</f>
        <v>6.47</v>
      </c>
      <c r="I150">
        <f>data1[[#This Row],[Cost per unit]]*data1[[#This Row],[Units]]</f>
        <v>892.86</v>
      </c>
    </row>
    <row r="151" spans="3:9" x14ac:dyDescent="0.3">
      <c r="C151" t="s">
        <v>7</v>
      </c>
      <c r="D151" t="s">
        <v>34</v>
      </c>
      <c r="E151" t="s">
        <v>20</v>
      </c>
      <c r="F151" s="4">
        <v>2205</v>
      </c>
      <c r="G151" s="5">
        <v>138</v>
      </c>
      <c r="H151">
        <f>_xlfn.XLOOKUP(data1[[#This Row],[Product]],products[Product],products[Cost per unit])</f>
        <v>10.62</v>
      </c>
      <c r="I151">
        <f>data1[[#This Row],[Cost per unit]]*data1[[#This Row],[Units]]</f>
        <v>1465.56</v>
      </c>
    </row>
    <row r="152" spans="3:9" x14ac:dyDescent="0.3">
      <c r="C152" t="s">
        <v>40</v>
      </c>
      <c r="D152" t="s">
        <v>34</v>
      </c>
      <c r="E152" t="s">
        <v>27</v>
      </c>
      <c r="F152" s="4">
        <v>2289</v>
      </c>
      <c r="G152" s="5">
        <v>135</v>
      </c>
      <c r="H152">
        <f>_xlfn.XLOOKUP(data1[[#This Row],[Product]],products[Product],products[Cost per unit])</f>
        <v>16.73</v>
      </c>
      <c r="I152">
        <f>data1[[#This Row],[Cost per unit]]*data1[[#This Row],[Units]]</f>
        <v>2258.5500000000002</v>
      </c>
    </row>
    <row r="153" spans="3:9" x14ac:dyDescent="0.3">
      <c r="C153" t="s">
        <v>6</v>
      </c>
      <c r="D153" t="s">
        <v>36</v>
      </c>
      <c r="E153" t="s">
        <v>29</v>
      </c>
      <c r="F153" s="4">
        <v>1400</v>
      </c>
      <c r="G153" s="5">
        <v>135</v>
      </c>
      <c r="H153">
        <f>_xlfn.XLOOKUP(data1[[#This Row],[Product]],products[Product],products[Cost per unit])</f>
        <v>7.16</v>
      </c>
      <c r="I153">
        <f>data1[[#This Row],[Cost per unit]]*data1[[#This Row],[Units]]</f>
        <v>966.6</v>
      </c>
    </row>
    <row r="154" spans="3:9" x14ac:dyDescent="0.3">
      <c r="C154" t="s">
        <v>6</v>
      </c>
      <c r="D154" t="s">
        <v>38</v>
      </c>
      <c r="E154" t="s">
        <v>33</v>
      </c>
      <c r="F154" s="4">
        <v>959</v>
      </c>
      <c r="G154" s="5">
        <v>135</v>
      </c>
      <c r="H154">
        <f>_xlfn.XLOOKUP(data1[[#This Row],[Product]],products[Product],products[Cost per unit])</f>
        <v>12.37</v>
      </c>
      <c r="I154">
        <f>data1[[#This Row],[Cost per unit]]*data1[[#This Row],[Units]]</f>
        <v>1669.9499999999998</v>
      </c>
    </row>
    <row r="155" spans="3:9" x14ac:dyDescent="0.3">
      <c r="C155" t="s">
        <v>40</v>
      </c>
      <c r="D155" t="s">
        <v>39</v>
      </c>
      <c r="E155" t="s">
        <v>29</v>
      </c>
      <c r="F155" s="4">
        <v>0</v>
      </c>
      <c r="G155" s="5">
        <v>135</v>
      </c>
      <c r="H155">
        <f>_xlfn.XLOOKUP(data1[[#This Row],[Product]],products[Product],products[Cost per unit])</f>
        <v>7.16</v>
      </c>
      <c r="I155">
        <f>data1[[#This Row],[Cost per unit]]*data1[[#This Row],[Units]]</f>
        <v>966.6</v>
      </c>
    </row>
    <row r="156" spans="3:9" x14ac:dyDescent="0.3">
      <c r="C156" t="s">
        <v>41</v>
      </c>
      <c r="D156" t="s">
        <v>35</v>
      </c>
      <c r="E156" t="s">
        <v>27</v>
      </c>
      <c r="F156" s="4">
        <v>847</v>
      </c>
      <c r="G156" s="5">
        <v>129</v>
      </c>
      <c r="H156">
        <f>_xlfn.XLOOKUP(data1[[#This Row],[Product]],products[Product],products[Cost per unit])</f>
        <v>16.73</v>
      </c>
      <c r="I156">
        <f>data1[[#This Row],[Cost per unit]]*data1[[#This Row],[Units]]</f>
        <v>2158.17</v>
      </c>
    </row>
    <row r="157" spans="3:9" x14ac:dyDescent="0.3">
      <c r="C157" t="s">
        <v>10</v>
      </c>
      <c r="D157" t="s">
        <v>38</v>
      </c>
      <c r="E157" t="s">
        <v>4</v>
      </c>
      <c r="F157" s="4">
        <v>6860</v>
      </c>
      <c r="G157" s="5">
        <v>126</v>
      </c>
      <c r="H157">
        <f>_xlfn.XLOOKUP(data1[[#This Row],[Product]],products[Product],products[Cost per unit])</f>
        <v>11.88</v>
      </c>
      <c r="I157">
        <f>data1[[#This Row],[Cost per unit]]*data1[[#This Row],[Units]]</f>
        <v>1496.88</v>
      </c>
    </row>
    <row r="158" spans="3:9" x14ac:dyDescent="0.3">
      <c r="C158" t="s">
        <v>41</v>
      </c>
      <c r="D158" t="s">
        <v>34</v>
      </c>
      <c r="E158" t="s">
        <v>23</v>
      </c>
      <c r="F158" s="4">
        <v>4935</v>
      </c>
      <c r="G158" s="5">
        <v>126</v>
      </c>
      <c r="H158">
        <f>_xlfn.XLOOKUP(data1[[#This Row],[Product]],products[Product],products[Cost per unit])</f>
        <v>6.49</v>
      </c>
      <c r="I158">
        <f>data1[[#This Row],[Cost per unit]]*data1[[#This Row],[Units]]</f>
        <v>817.74</v>
      </c>
    </row>
    <row r="159" spans="3:9" x14ac:dyDescent="0.3">
      <c r="C159" t="s">
        <v>2</v>
      </c>
      <c r="D159" t="s">
        <v>39</v>
      </c>
      <c r="E159" t="s">
        <v>33</v>
      </c>
      <c r="F159" s="4">
        <v>4018</v>
      </c>
      <c r="G159" s="5">
        <v>126</v>
      </c>
      <c r="H159">
        <f>_xlfn.XLOOKUP(data1[[#This Row],[Product]],products[Product],products[Cost per unit])</f>
        <v>12.37</v>
      </c>
      <c r="I159">
        <f>data1[[#This Row],[Cost per unit]]*data1[[#This Row],[Units]]</f>
        <v>1558.62</v>
      </c>
    </row>
    <row r="160" spans="3:9" x14ac:dyDescent="0.3">
      <c r="C160" t="s">
        <v>40</v>
      </c>
      <c r="D160" t="s">
        <v>35</v>
      </c>
      <c r="E160" t="s">
        <v>29</v>
      </c>
      <c r="F160" s="4">
        <v>1617</v>
      </c>
      <c r="G160" s="5">
        <v>126</v>
      </c>
      <c r="H160">
        <f>_xlfn.XLOOKUP(data1[[#This Row],[Product]],products[Product],products[Cost per unit])</f>
        <v>7.16</v>
      </c>
      <c r="I160">
        <f>data1[[#This Row],[Cost per unit]]*data1[[#This Row],[Units]]</f>
        <v>902.16</v>
      </c>
    </row>
    <row r="161" spans="3:9" x14ac:dyDescent="0.3">
      <c r="C161" t="s">
        <v>8</v>
      </c>
      <c r="D161" t="s">
        <v>35</v>
      </c>
      <c r="E161" t="s">
        <v>33</v>
      </c>
      <c r="F161" s="4">
        <v>357</v>
      </c>
      <c r="G161" s="5">
        <v>126</v>
      </c>
      <c r="H161">
        <f>_xlfn.XLOOKUP(data1[[#This Row],[Product]],products[Product],products[Cost per unit])</f>
        <v>12.37</v>
      </c>
      <c r="I161">
        <f>data1[[#This Row],[Cost per unit]]*data1[[#This Row],[Units]]</f>
        <v>1558.62</v>
      </c>
    </row>
    <row r="162" spans="3:9" x14ac:dyDescent="0.3">
      <c r="C162" t="s">
        <v>6</v>
      </c>
      <c r="D162" t="s">
        <v>34</v>
      </c>
      <c r="E162" t="s">
        <v>32</v>
      </c>
      <c r="F162" s="4">
        <v>6734</v>
      </c>
      <c r="G162" s="5">
        <v>123</v>
      </c>
      <c r="H162">
        <f>_xlfn.XLOOKUP(data1[[#This Row],[Product]],products[Product],products[Cost per unit])</f>
        <v>8.65</v>
      </c>
      <c r="I162">
        <f>data1[[#This Row],[Cost per unit]]*data1[[#This Row],[Units]]</f>
        <v>1063.95</v>
      </c>
    </row>
    <row r="163" spans="3:9" x14ac:dyDescent="0.3">
      <c r="C163" t="s">
        <v>6</v>
      </c>
      <c r="D163" t="s">
        <v>35</v>
      </c>
      <c r="E163" t="s">
        <v>30</v>
      </c>
      <c r="F163" s="4">
        <v>4781</v>
      </c>
      <c r="G163" s="5">
        <v>123</v>
      </c>
      <c r="H163">
        <f>_xlfn.XLOOKUP(data1[[#This Row],[Product]],products[Product],products[Cost per unit])</f>
        <v>14.49</v>
      </c>
      <c r="I163">
        <f>data1[[#This Row],[Cost per unit]]*data1[[#This Row],[Units]]</f>
        <v>1782.27</v>
      </c>
    </row>
    <row r="164" spans="3:9" x14ac:dyDescent="0.3">
      <c r="C164" t="s">
        <v>41</v>
      </c>
      <c r="D164" t="s">
        <v>37</v>
      </c>
      <c r="E164" t="s">
        <v>20</v>
      </c>
      <c r="F164" s="4">
        <v>3388</v>
      </c>
      <c r="G164" s="5">
        <v>123</v>
      </c>
      <c r="H164">
        <f>_xlfn.XLOOKUP(data1[[#This Row],[Product]],products[Product],products[Cost per unit])</f>
        <v>10.62</v>
      </c>
      <c r="I164">
        <f>data1[[#This Row],[Cost per unit]]*data1[[#This Row],[Units]]</f>
        <v>1306.26</v>
      </c>
    </row>
    <row r="165" spans="3:9" x14ac:dyDescent="0.3">
      <c r="C165" t="s">
        <v>6</v>
      </c>
      <c r="D165" t="s">
        <v>38</v>
      </c>
      <c r="E165" t="s">
        <v>13</v>
      </c>
      <c r="F165" s="4">
        <v>2317</v>
      </c>
      <c r="G165" s="5">
        <v>123</v>
      </c>
      <c r="H165">
        <f>_xlfn.XLOOKUP(data1[[#This Row],[Product]],products[Product],products[Cost per unit])</f>
        <v>9.33</v>
      </c>
      <c r="I165">
        <f>data1[[#This Row],[Cost per unit]]*data1[[#This Row],[Units]]</f>
        <v>1147.5899999999999</v>
      </c>
    </row>
    <row r="166" spans="3:9" x14ac:dyDescent="0.3">
      <c r="C166" t="s">
        <v>10</v>
      </c>
      <c r="D166" t="s">
        <v>38</v>
      </c>
      <c r="E166" t="s">
        <v>13</v>
      </c>
      <c r="F166" s="4">
        <v>63</v>
      </c>
      <c r="G166" s="5">
        <v>123</v>
      </c>
      <c r="H166">
        <f>_xlfn.XLOOKUP(data1[[#This Row],[Product]],products[Product],products[Cost per unit])</f>
        <v>9.33</v>
      </c>
      <c r="I166">
        <f>data1[[#This Row],[Cost per unit]]*data1[[#This Row],[Units]]</f>
        <v>1147.5899999999999</v>
      </c>
    </row>
    <row r="167" spans="3:9" x14ac:dyDescent="0.3">
      <c r="C167" t="s">
        <v>6</v>
      </c>
      <c r="D167" t="s">
        <v>36</v>
      </c>
      <c r="E167" t="s">
        <v>4</v>
      </c>
      <c r="F167" s="4">
        <v>10073</v>
      </c>
      <c r="G167" s="5">
        <v>120</v>
      </c>
      <c r="H167">
        <f>_xlfn.XLOOKUP(data1[[#This Row],[Product]],products[Product],products[Cost per unit])</f>
        <v>11.88</v>
      </c>
      <c r="I167">
        <f>data1[[#This Row],[Cost per unit]]*data1[[#This Row],[Units]]</f>
        <v>1425.6000000000001</v>
      </c>
    </row>
    <row r="168" spans="3:9" x14ac:dyDescent="0.3">
      <c r="C168" t="s">
        <v>2</v>
      </c>
      <c r="D168" t="s">
        <v>34</v>
      </c>
      <c r="E168" t="s">
        <v>19</v>
      </c>
      <c r="F168" s="4">
        <v>7511</v>
      </c>
      <c r="G168" s="5">
        <v>120</v>
      </c>
      <c r="H168">
        <f>_xlfn.XLOOKUP(data1[[#This Row],[Product]],products[Product],products[Cost per unit])</f>
        <v>7.64</v>
      </c>
      <c r="I168">
        <f>data1[[#This Row],[Cost per unit]]*data1[[#This Row],[Units]]</f>
        <v>916.8</v>
      </c>
    </row>
    <row r="169" spans="3:9" x14ac:dyDescent="0.3">
      <c r="C169" t="s">
        <v>9</v>
      </c>
      <c r="D169" t="s">
        <v>38</v>
      </c>
      <c r="E169" t="s">
        <v>16</v>
      </c>
      <c r="F169" s="4">
        <v>2646</v>
      </c>
      <c r="G169" s="5">
        <v>120</v>
      </c>
      <c r="H169">
        <f>_xlfn.XLOOKUP(data1[[#This Row],[Product]],products[Product],products[Cost per unit])</f>
        <v>8.7899999999999991</v>
      </c>
      <c r="I169">
        <f>data1[[#This Row],[Cost per unit]]*data1[[#This Row],[Units]]</f>
        <v>1054.8</v>
      </c>
    </row>
    <row r="170" spans="3:9" x14ac:dyDescent="0.3">
      <c r="C170" t="s">
        <v>3</v>
      </c>
      <c r="D170" t="s">
        <v>34</v>
      </c>
      <c r="E170" t="s">
        <v>23</v>
      </c>
      <c r="F170" s="4">
        <v>2212</v>
      </c>
      <c r="G170" s="5">
        <v>117</v>
      </c>
      <c r="H170">
        <f>_xlfn.XLOOKUP(data1[[#This Row],[Product]],products[Product],products[Cost per unit])</f>
        <v>6.49</v>
      </c>
      <c r="I170">
        <f>data1[[#This Row],[Cost per unit]]*data1[[#This Row],[Units]]</f>
        <v>759.33</v>
      </c>
    </row>
    <row r="171" spans="3:9" x14ac:dyDescent="0.3">
      <c r="C171" t="s">
        <v>7</v>
      </c>
      <c r="D171" t="s">
        <v>36</v>
      </c>
      <c r="E171" t="s">
        <v>31</v>
      </c>
      <c r="F171" s="4">
        <v>2149</v>
      </c>
      <c r="G171" s="5">
        <v>117</v>
      </c>
      <c r="H171">
        <f>_xlfn.XLOOKUP(data1[[#This Row],[Product]],products[Product],products[Cost per unit])</f>
        <v>5.79</v>
      </c>
      <c r="I171">
        <f>data1[[#This Row],[Cost per unit]]*data1[[#This Row],[Units]]</f>
        <v>677.43</v>
      </c>
    </row>
    <row r="172" spans="3:9" x14ac:dyDescent="0.3">
      <c r="C172" t="s">
        <v>2</v>
      </c>
      <c r="D172" t="s">
        <v>39</v>
      </c>
      <c r="E172" t="s">
        <v>16</v>
      </c>
      <c r="F172" s="4">
        <v>2016</v>
      </c>
      <c r="G172" s="5">
        <v>117</v>
      </c>
      <c r="H172">
        <f>_xlfn.XLOOKUP(data1[[#This Row],[Product]],products[Product],products[Cost per unit])</f>
        <v>8.7899999999999991</v>
      </c>
      <c r="I172">
        <f>data1[[#This Row],[Cost per unit]]*data1[[#This Row],[Units]]</f>
        <v>1028.4299999999998</v>
      </c>
    </row>
    <row r="173" spans="3:9" x14ac:dyDescent="0.3">
      <c r="C173" t="s">
        <v>7</v>
      </c>
      <c r="D173" t="s">
        <v>35</v>
      </c>
      <c r="E173" t="s">
        <v>24</v>
      </c>
      <c r="F173" s="4">
        <v>2793</v>
      </c>
      <c r="G173" s="5">
        <v>114</v>
      </c>
      <c r="H173">
        <f>_xlfn.XLOOKUP(data1[[#This Row],[Product]],products[Product],products[Cost per unit])</f>
        <v>4.97</v>
      </c>
      <c r="I173">
        <f>data1[[#This Row],[Cost per unit]]*data1[[#This Row],[Units]]</f>
        <v>566.57999999999993</v>
      </c>
    </row>
    <row r="174" spans="3:9" x14ac:dyDescent="0.3">
      <c r="C174" t="s">
        <v>9</v>
      </c>
      <c r="D174" t="s">
        <v>36</v>
      </c>
      <c r="E174" t="s">
        <v>25</v>
      </c>
      <c r="F174" s="4">
        <v>2142</v>
      </c>
      <c r="G174" s="5">
        <v>114</v>
      </c>
      <c r="H174">
        <f>_xlfn.XLOOKUP(data1[[#This Row],[Product]],products[Product],products[Cost per unit])</f>
        <v>13.15</v>
      </c>
      <c r="I174">
        <f>data1[[#This Row],[Cost per unit]]*data1[[#This Row],[Units]]</f>
        <v>1499.1000000000001</v>
      </c>
    </row>
    <row r="175" spans="3:9" x14ac:dyDescent="0.3">
      <c r="C175" t="s">
        <v>40</v>
      </c>
      <c r="D175" t="s">
        <v>37</v>
      </c>
      <c r="E175" t="s">
        <v>30</v>
      </c>
      <c r="F175" s="4">
        <v>1624</v>
      </c>
      <c r="G175" s="5">
        <v>114</v>
      </c>
      <c r="H175">
        <f>_xlfn.XLOOKUP(data1[[#This Row],[Product]],products[Product],products[Cost per unit])</f>
        <v>14.49</v>
      </c>
      <c r="I175">
        <f>data1[[#This Row],[Cost per unit]]*data1[[#This Row],[Units]]</f>
        <v>1651.8600000000001</v>
      </c>
    </row>
    <row r="176" spans="3:9" x14ac:dyDescent="0.3">
      <c r="C176" t="s">
        <v>7</v>
      </c>
      <c r="D176" t="s">
        <v>37</v>
      </c>
      <c r="E176" t="s">
        <v>17</v>
      </c>
      <c r="F176" s="4">
        <v>4487</v>
      </c>
      <c r="G176" s="5">
        <v>111</v>
      </c>
      <c r="H176">
        <f>_xlfn.XLOOKUP(data1[[#This Row],[Product]],products[Product],products[Cost per unit])</f>
        <v>3.11</v>
      </c>
      <c r="I176">
        <f>data1[[#This Row],[Cost per unit]]*data1[[#This Row],[Units]]</f>
        <v>345.21</v>
      </c>
    </row>
    <row r="177" spans="3:9" x14ac:dyDescent="0.3">
      <c r="C177" t="s">
        <v>5</v>
      </c>
      <c r="D177" t="s">
        <v>36</v>
      </c>
      <c r="E177" t="s">
        <v>30</v>
      </c>
      <c r="F177" s="4">
        <v>1526</v>
      </c>
      <c r="G177" s="5">
        <v>105</v>
      </c>
      <c r="H177">
        <f>_xlfn.XLOOKUP(data1[[#This Row],[Product]],products[Product],products[Cost per unit])</f>
        <v>14.49</v>
      </c>
      <c r="I177">
        <f>data1[[#This Row],[Cost per unit]]*data1[[#This Row],[Units]]</f>
        <v>1521.45</v>
      </c>
    </row>
    <row r="178" spans="3:9" x14ac:dyDescent="0.3">
      <c r="C178" t="s">
        <v>41</v>
      </c>
      <c r="D178" t="s">
        <v>37</v>
      </c>
      <c r="E178" t="s">
        <v>24</v>
      </c>
      <c r="F178" s="4">
        <v>6398</v>
      </c>
      <c r="G178" s="5">
        <v>102</v>
      </c>
      <c r="H178">
        <f>_xlfn.XLOOKUP(data1[[#This Row],[Product]],products[Product],products[Cost per unit])</f>
        <v>4.97</v>
      </c>
      <c r="I178">
        <f>data1[[#This Row],[Cost per unit]]*data1[[#This Row],[Units]]</f>
        <v>506.94</v>
      </c>
    </row>
    <row r="179" spans="3:9" x14ac:dyDescent="0.3">
      <c r="C179" t="s">
        <v>40</v>
      </c>
      <c r="D179" t="s">
        <v>38</v>
      </c>
      <c r="E179" t="s">
        <v>4</v>
      </c>
      <c r="F179" s="4">
        <v>6125</v>
      </c>
      <c r="G179" s="5">
        <v>102</v>
      </c>
      <c r="H179">
        <f>_xlfn.XLOOKUP(data1[[#This Row],[Product]],products[Product],products[Cost per unit])</f>
        <v>11.88</v>
      </c>
      <c r="I179">
        <f>data1[[#This Row],[Cost per unit]]*data1[[#This Row],[Units]]</f>
        <v>1211.76</v>
      </c>
    </row>
    <row r="180" spans="3:9" x14ac:dyDescent="0.3">
      <c r="C180" t="s">
        <v>9</v>
      </c>
      <c r="D180" t="s">
        <v>38</v>
      </c>
      <c r="E180" t="s">
        <v>25</v>
      </c>
      <c r="F180" s="4">
        <v>3850</v>
      </c>
      <c r="G180" s="5">
        <v>102</v>
      </c>
      <c r="H180">
        <f>_xlfn.XLOOKUP(data1[[#This Row],[Product]],products[Product],products[Cost per unit])</f>
        <v>13.15</v>
      </c>
      <c r="I180">
        <f>data1[[#This Row],[Cost per unit]]*data1[[#This Row],[Units]]</f>
        <v>1341.3</v>
      </c>
    </row>
    <row r="181" spans="3:9" x14ac:dyDescent="0.3">
      <c r="C181" t="s">
        <v>5</v>
      </c>
      <c r="D181" t="s">
        <v>34</v>
      </c>
      <c r="E181" t="s">
        <v>29</v>
      </c>
      <c r="F181" s="4">
        <v>2891</v>
      </c>
      <c r="G181" s="5">
        <v>102</v>
      </c>
      <c r="H181">
        <f>_xlfn.XLOOKUP(data1[[#This Row],[Product]],products[Product],products[Cost per unit])</f>
        <v>7.16</v>
      </c>
      <c r="I181">
        <f>data1[[#This Row],[Cost per unit]]*data1[[#This Row],[Units]]</f>
        <v>730.32</v>
      </c>
    </row>
    <row r="182" spans="3:9" x14ac:dyDescent="0.3">
      <c r="C182" t="s">
        <v>3</v>
      </c>
      <c r="D182" t="s">
        <v>39</v>
      </c>
      <c r="E182" t="s">
        <v>28</v>
      </c>
      <c r="F182" s="4">
        <v>1652</v>
      </c>
      <c r="G182" s="5">
        <v>102</v>
      </c>
      <c r="H182">
        <f>_xlfn.XLOOKUP(data1[[#This Row],[Product]],products[Product],products[Cost per unit])</f>
        <v>10.38</v>
      </c>
      <c r="I182">
        <f>data1[[#This Row],[Cost per unit]]*data1[[#This Row],[Units]]</f>
        <v>1058.76</v>
      </c>
    </row>
    <row r="183" spans="3:9" x14ac:dyDescent="0.3">
      <c r="C183" t="s">
        <v>6</v>
      </c>
      <c r="D183" t="s">
        <v>37</v>
      </c>
      <c r="E183" t="s">
        <v>18</v>
      </c>
      <c r="F183" s="4">
        <v>1505</v>
      </c>
      <c r="G183" s="5">
        <v>102</v>
      </c>
      <c r="H183">
        <f>_xlfn.XLOOKUP(data1[[#This Row],[Product]],products[Product],products[Cost per unit])</f>
        <v>6.47</v>
      </c>
      <c r="I183">
        <f>data1[[#This Row],[Cost per unit]]*data1[[#This Row],[Units]]</f>
        <v>659.93999999999994</v>
      </c>
    </row>
    <row r="184" spans="3:9" x14ac:dyDescent="0.3">
      <c r="C184" t="s">
        <v>9</v>
      </c>
      <c r="D184" t="s">
        <v>38</v>
      </c>
      <c r="E184" t="s">
        <v>26</v>
      </c>
      <c r="F184" s="4">
        <v>2436</v>
      </c>
      <c r="G184" s="5">
        <v>99</v>
      </c>
      <c r="H184">
        <f>_xlfn.XLOOKUP(data1[[#This Row],[Product]],products[Product],products[Cost per unit])</f>
        <v>5.6</v>
      </c>
      <c r="I184">
        <f>data1[[#This Row],[Cost per unit]]*data1[[#This Row],[Units]]</f>
        <v>554.4</v>
      </c>
    </row>
    <row r="185" spans="3:9" x14ac:dyDescent="0.3">
      <c r="C185" t="s">
        <v>41</v>
      </c>
      <c r="D185" t="s">
        <v>35</v>
      </c>
      <c r="E185" t="s">
        <v>19</v>
      </c>
      <c r="F185" s="4">
        <v>609</v>
      </c>
      <c r="G185" s="5">
        <v>99</v>
      </c>
      <c r="H185">
        <f>_xlfn.XLOOKUP(data1[[#This Row],[Product]],products[Product],products[Cost per unit])</f>
        <v>7.64</v>
      </c>
      <c r="I185">
        <f>data1[[#This Row],[Cost per unit]]*data1[[#This Row],[Units]]</f>
        <v>756.36</v>
      </c>
    </row>
    <row r="186" spans="3:9" x14ac:dyDescent="0.3">
      <c r="C186" t="s">
        <v>9</v>
      </c>
      <c r="D186" t="s">
        <v>37</v>
      </c>
      <c r="E186" t="s">
        <v>20</v>
      </c>
      <c r="F186" s="4">
        <v>7273</v>
      </c>
      <c r="G186" s="5">
        <v>96</v>
      </c>
      <c r="H186">
        <f>_xlfn.XLOOKUP(data1[[#This Row],[Product]],products[Product],products[Cost per unit])</f>
        <v>10.62</v>
      </c>
      <c r="I186">
        <f>data1[[#This Row],[Cost per unit]]*data1[[#This Row],[Units]]</f>
        <v>1019.52</v>
      </c>
    </row>
    <row r="187" spans="3:9" x14ac:dyDescent="0.3">
      <c r="C187" t="s">
        <v>10</v>
      </c>
      <c r="D187" t="s">
        <v>35</v>
      </c>
      <c r="E187" t="s">
        <v>14</v>
      </c>
      <c r="F187" s="4">
        <v>3472</v>
      </c>
      <c r="G187" s="5">
        <v>96</v>
      </c>
      <c r="H187">
        <f>_xlfn.XLOOKUP(data1[[#This Row],[Product]],products[Product],products[Cost per unit])</f>
        <v>11.7</v>
      </c>
      <c r="I187">
        <f>data1[[#This Row],[Cost per unit]]*data1[[#This Row],[Units]]</f>
        <v>1123.1999999999998</v>
      </c>
    </row>
    <row r="188" spans="3:9" x14ac:dyDescent="0.3">
      <c r="C188" t="s">
        <v>7</v>
      </c>
      <c r="D188" t="s">
        <v>34</v>
      </c>
      <c r="E188" t="s">
        <v>25</v>
      </c>
      <c r="F188" s="4">
        <v>1568</v>
      </c>
      <c r="G188" s="5">
        <v>96</v>
      </c>
      <c r="H188">
        <f>_xlfn.XLOOKUP(data1[[#This Row],[Product]],products[Product],products[Cost per unit])</f>
        <v>13.15</v>
      </c>
      <c r="I188">
        <f>data1[[#This Row],[Cost per unit]]*data1[[#This Row],[Units]]</f>
        <v>1262.4000000000001</v>
      </c>
    </row>
    <row r="189" spans="3:9" x14ac:dyDescent="0.3">
      <c r="C189" t="s">
        <v>40</v>
      </c>
      <c r="D189" t="s">
        <v>37</v>
      </c>
      <c r="E189" t="s">
        <v>27</v>
      </c>
      <c r="F189" s="4">
        <v>6132</v>
      </c>
      <c r="G189" s="5">
        <v>93</v>
      </c>
      <c r="H189">
        <f>_xlfn.XLOOKUP(data1[[#This Row],[Product]],products[Product],products[Cost per unit])</f>
        <v>16.73</v>
      </c>
      <c r="I189">
        <f>data1[[#This Row],[Cost per unit]]*data1[[#This Row],[Units]]</f>
        <v>1555.89</v>
      </c>
    </row>
    <row r="190" spans="3:9" x14ac:dyDescent="0.3">
      <c r="C190" t="s">
        <v>3</v>
      </c>
      <c r="D190" t="s">
        <v>34</v>
      </c>
      <c r="E190" t="s">
        <v>17</v>
      </c>
      <c r="F190" s="4">
        <v>2919</v>
      </c>
      <c r="G190" s="5">
        <v>93</v>
      </c>
      <c r="H190">
        <f>_xlfn.XLOOKUP(data1[[#This Row],[Product]],products[Product],products[Cost per unit])</f>
        <v>3.11</v>
      </c>
      <c r="I190">
        <f>data1[[#This Row],[Cost per unit]]*data1[[#This Row],[Units]]</f>
        <v>289.22999999999996</v>
      </c>
    </row>
    <row r="191" spans="3:9" x14ac:dyDescent="0.3">
      <c r="C191" t="s">
        <v>9</v>
      </c>
      <c r="D191" t="s">
        <v>37</v>
      </c>
      <c r="E191" t="s">
        <v>23</v>
      </c>
      <c r="F191" s="4">
        <v>2737</v>
      </c>
      <c r="G191" s="5">
        <v>93</v>
      </c>
      <c r="H191">
        <f>_xlfn.XLOOKUP(data1[[#This Row],[Product]],products[Product],products[Cost per unit])</f>
        <v>6.49</v>
      </c>
      <c r="I191">
        <f>data1[[#This Row],[Cost per unit]]*data1[[#This Row],[Units]]</f>
        <v>603.57000000000005</v>
      </c>
    </row>
    <row r="192" spans="3:9" x14ac:dyDescent="0.3">
      <c r="C192" t="s">
        <v>5</v>
      </c>
      <c r="D192" t="s">
        <v>34</v>
      </c>
      <c r="E192" t="s">
        <v>33</v>
      </c>
      <c r="F192" s="4">
        <v>1652</v>
      </c>
      <c r="G192" s="5">
        <v>93</v>
      </c>
      <c r="H192">
        <f>_xlfn.XLOOKUP(data1[[#This Row],[Product]],products[Product],products[Cost per unit])</f>
        <v>12.37</v>
      </c>
      <c r="I192">
        <f>data1[[#This Row],[Cost per unit]]*data1[[#This Row],[Units]]</f>
        <v>1150.4099999999999</v>
      </c>
    </row>
    <row r="193" spans="3:9" x14ac:dyDescent="0.3">
      <c r="C193" t="s">
        <v>10</v>
      </c>
      <c r="D193" t="s">
        <v>34</v>
      </c>
      <c r="E193" t="s">
        <v>25</v>
      </c>
      <c r="F193" s="4">
        <v>1428</v>
      </c>
      <c r="G193" s="5">
        <v>93</v>
      </c>
      <c r="H193">
        <f>_xlfn.XLOOKUP(data1[[#This Row],[Product]],products[Product],products[Cost per unit])</f>
        <v>13.15</v>
      </c>
      <c r="I193">
        <f>data1[[#This Row],[Cost per unit]]*data1[[#This Row],[Units]]</f>
        <v>1222.95</v>
      </c>
    </row>
    <row r="194" spans="3:9" x14ac:dyDescent="0.3">
      <c r="C194" t="s">
        <v>40</v>
      </c>
      <c r="D194" t="s">
        <v>36</v>
      </c>
      <c r="E194" t="s">
        <v>33</v>
      </c>
      <c r="F194" s="4">
        <v>9772</v>
      </c>
      <c r="G194" s="5">
        <v>90</v>
      </c>
      <c r="H194">
        <f>_xlfn.XLOOKUP(data1[[#This Row],[Product]],products[Product],products[Cost per unit])</f>
        <v>12.37</v>
      </c>
      <c r="I194">
        <f>data1[[#This Row],[Cost per unit]]*data1[[#This Row],[Units]]</f>
        <v>1113.3</v>
      </c>
    </row>
    <row r="195" spans="3:9" x14ac:dyDescent="0.3">
      <c r="C195" t="s">
        <v>9</v>
      </c>
      <c r="D195" t="s">
        <v>34</v>
      </c>
      <c r="E195" t="s">
        <v>23</v>
      </c>
      <c r="F195" s="4">
        <v>8155</v>
      </c>
      <c r="G195" s="5">
        <v>90</v>
      </c>
      <c r="H195">
        <f>_xlfn.XLOOKUP(data1[[#This Row],[Product]],products[Product],products[Cost per unit])</f>
        <v>6.49</v>
      </c>
      <c r="I195">
        <f>data1[[#This Row],[Cost per unit]]*data1[[#This Row],[Units]]</f>
        <v>584.1</v>
      </c>
    </row>
    <row r="196" spans="3:9" x14ac:dyDescent="0.3">
      <c r="C196" t="s">
        <v>40</v>
      </c>
      <c r="D196" t="s">
        <v>38</v>
      </c>
      <c r="E196" t="s">
        <v>25</v>
      </c>
      <c r="F196" s="4">
        <v>2541</v>
      </c>
      <c r="G196" s="5">
        <v>90</v>
      </c>
      <c r="H196">
        <f>_xlfn.XLOOKUP(data1[[#This Row],[Product]],products[Product],products[Cost per unit])</f>
        <v>13.15</v>
      </c>
      <c r="I196">
        <f>data1[[#This Row],[Cost per unit]]*data1[[#This Row],[Units]]</f>
        <v>1183.5</v>
      </c>
    </row>
    <row r="197" spans="3:9" x14ac:dyDescent="0.3">
      <c r="C197" t="s">
        <v>9</v>
      </c>
      <c r="D197" t="s">
        <v>38</v>
      </c>
      <c r="E197" t="s">
        <v>33</v>
      </c>
      <c r="F197" s="4">
        <v>9506</v>
      </c>
      <c r="G197" s="5">
        <v>87</v>
      </c>
      <c r="H197">
        <f>_xlfn.XLOOKUP(data1[[#This Row],[Product]],products[Product],products[Cost per unit])</f>
        <v>12.37</v>
      </c>
      <c r="I197">
        <f>data1[[#This Row],[Cost per unit]]*data1[[#This Row],[Units]]</f>
        <v>1076.1899999999998</v>
      </c>
    </row>
    <row r="198" spans="3:9" x14ac:dyDescent="0.3">
      <c r="C198" t="s">
        <v>6</v>
      </c>
      <c r="D198" t="s">
        <v>37</v>
      </c>
      <c r="E198" t="s">
        <v>31</v>
      </c>
      <c r="F198" s="4">
        <v>7693</v>
      </c>
      <c r="G198" s="5">
        <v>87</v>
      </c>
      <c r="H198">
        <f>_xlfn.XLOOKUP(data1[[#This Row],[Product]],products[Product],products[Cost per unit])</f>
        <v>5.79</v>
      </c>
      <c r="I198">
        <f>data1[[#This Row],[Cost per unit]]*data1[[#This Row],[Units]]</f>
        <v>503.73</v>
      </c>
    </row>
    <row r="199" spans="3:9" x14ac:dyDescent="0.3">
      <c r="C199" t="s">
        <v>10</v>
      </c>
      <c r="D199" t="s">
        <v>34</v>
      </c>
      <c r="E199" t="s">
        <v>17</v>
      </c>
      <c r="F199" s="4">
        <v>700</v>
      </c>
      <c r="G199" s="5">
        <v>87</v>
      </c>
      <c r="H199">
        <f>_xlfn.XLOOKUP(data1[[#This Row],[Product]],products[Product],products[Cost per unit])</f>
        <v>3.11</v>
      </c>
      <c r="I199">
        <f>data1[[#This Row],[Cost per unit]]*data1[[#This Row],[Units]]</f>
        <v>270.57</v>
      </c>
    </row>
    <row r="200" spans="3:9" x14ac:dyDescent="0.3">
      <c r="C200" t="s">
        <v>40</v>
      </c>
      <c r="D200" t="s">
        <v>38</v>
      </c>
      <c r="E200" t="s">
        <v>26</v>
      </c>
      <c r="F200" s="4">
        <v>609</v>
      </c>
      <c r="G200" s="5">
        <v>87</v>
      </c>
      <c r="H200">
        <f>_xlfn.XLOOKUP(data1[[#This Row],[Product]],products[Product],products[Cost per unit])</f>
        <v>5.6</v>
      </c>
      <c r="I200">
        <f>data1[[#This Row],[Cost per unit]]*data1[[#This Row],[Units]]</f>
        <v>487.2</v>
      </c>
    </row>
    <row r="201" spans="3:9" x14ac:dyDescent="0.3">
      <c r="C201" t="s">
        <v>8</v>
      </c>
      <c r="D201" t="s">
        <v>37</v>
      </c>
      <c r="E201" t="s">
        <v>21</v>
      </c>
      <c r="F201" s="4">
        <v>434</v>
      </c>
      <c r="G201" s="5">
        <v>87</v>
      </c>
      <c r="H201">
        <f>_xlfn.XLOOKUP(data1[[#This Row],[Product]],products[Product],products[Cost per unit])</f>
        <v>9</v>
      </c>
      <c r="I201">
        <f>data1[[#This Row],[Cost per unit]]*data1[[#This Row],[Units]]</f>
        <v>783</v>
      </c>
    </row>
    <row r="202" spans="3:9" x14ac:dyDescent="0.3">
      <c r="C202" t="s">
        <v>7</v>
      </c>
      <c r="D202" t="s">
        <v>36</v>
      </c>
      <c r="E202" t="s">
        <v>32</v>
      </c>
      <c r="F202" s="4">
        <v>280</v>
      </c>
      <c r="G202" s="5">
        <v>87</v>
      </c>
      <c r="H202">
        <f>_xlfn.XLOOKUP(data1[[#This Row],[Product]],products[Product],products[Cost per unit])</f>
        <v>8.65</v>
      </c>
      <c r="I202">
        <f>data1[[#This Row],[Cost per unit]]*data1[[#This Row],[Units]]</f>
        <v>752.55000000000007</v>
      </c>
    </row>
    <row r="203" spans="3:9" x14ac:dyDescent="0.3">
      <c r="C203" t="s">
        <v>41</v>
      </c>
      <c r="D203" t="s">
        <v>36</v>
      </c>
      <c r="E203" t="s">
        <v>32</v>
      </c>
      <c r="F203" s="4">
        <v>10304</v>
      </c>
      <c r="G203" s="5">
        <v>84</v>
      </c>
      <c r="H203">
        <f>_xlfn.XLOOKUP(data1[[#This Row],[Product]],products[Product],products[Cost per unit])</f>
        <v>8.65</v>
      </c>
      <c r="I203">
        <f>data1[[#This Row],[Cost per unit]]*data1[[#This Row],[Units]]</f>
        <v>726.6</v>
      </c>
    </row>
    <row r="204" spans="3:9" x14ac:dyDescent="0.3">
      <c r="C204" t="s">
        <v>5</v>
      </c>
      <c r="D204" t="s">
        <v>35</v>
      </c>
      <c r="E204" t="s">
        <v>22</v>
      </c>
      <c r="F204" s="4">
        <v>490</v>
      </c>
      <c r="G204" s="5">
        <v>84</v>
      </c>
      <c r="H204">
        <f>_xlfn.XLOOKUP(data1[[#This Row],[Product]],products[Product],products[Cost per unit])</f>
        <v>9.77</v>
      </c>
      <c r="I204">
        <f>data1[[#This Row],[Cost per unit]]*data1[[#This Row],[Units]]</f>
        <v>820.68</v>
      </c>
    </row>
    <row r="205" spans="3:9" x14ac:dyDescent="0.3">
      <c r="C205" t="s">
        <v>8</v>
      </c>
      <c r="D205" t="s">
        <v>38</v>
      </c>
      <c r="E205" t="s">
        <v>22</v>
      </c>
      <c r="F205" s="4">
        <v>168</v>
      </c>
      <c r="G205" s="5">
        <v>84</v>
      </c>
      <c r="H205">
        <f>_xlfn.XLOOKUP(data1[[#This Row],[Product]],products[Product],products[Cost per unit])</f>
        <v>9.77</v>
      </c>
      <c r="I205">
        <f>data1[[#This Row],[Cost per unit]]*data1[[#This Row],[Units]]</f>
        <v>820.68</v>
      </c>
    </row>
    <row r="206" spans="3:9" x14ac:dyDescent="0.3">
      <c r="C206" t="s">
        <v>2</v>
      </c>
      <c r="D206" t="s">
        <v>39</v>
      </c>
      <c r="E206" t="s">
        <v>27</v>
      </c>
      <c r="F206" s="4">
        <v>7812</v>
      </c>
      <c r="G206" s="5">
        <v>81</v>
      </c>
      <c r="H206">
        <f>_xlfn.XLOOKUP(data1[[#This Row],[Product]],products[Product],products[Cost per unit])</f>
        <v>16.73</v>
      </c>
      <c r="I206">
        <f>data1[[#This Row],[Cost per unit]]*data1[[#This Row],[Units]]</f>
        <v>1355.13</v>
      </c>
    </row>
    <row r="207" spans="3:9" x14ac:dyDescent="0.3">
      <c r="C207" t="s">
        <v>5</v>
      </c>
      <c r="D207" t="s">
        <v>39</v>
      </c>
      <c r="E207" t="s">
        <v>22</v>
      </c>
      <c r="F207" s="4">
        <v>6909</v>
      </c>
      <c r="G207" s="5">
        <v>81</v>
      </c>
      <c r="H207">
        <f>_xlfn.XLOOKUP(data1[[#This Row],[Product]],products[Product],products[Cost per unit])</f>
        <v>9.77</v>
      </c>
      <c r="I207">
        <f>data1[[#This Row],[Cost per unit]]*data1[[#This Row],[Units]]</f>
        <v>791.37</v>
      </c>
    </row>
    <row r="208" spans="3:9" x14ac:dyDescent="0.3">
      <c r="C208" t="s">
        <v>8</v>
      </c>
      <c r="D208" t="s">
        <v>35</v>
      </c>
      <c r="E208" t="s">
        <v>30</v>
      </c>
      <c r="F208" s="4">
        <v>3598</v>
      </c>
      <c r="G208" s="5">
        <v>81</v>
      </c>
      <c r="H208">
        <f>_xlfn.XLOOKUP(data1[[#This Row],[Product]],products[Product],products[Cost per unit])</f>
        <v>14.49</v>
      </c>
      <c r="I208">
        <f>data1[[#This Row],[Cost per unit]]*data1[[#This Row],[Units]]</f>
        <v>1173.69</v>
      </c>
    </row>
    <row r="209" spans="3:9" x14ac:dyDescent="0.3">
      <c r="C209" t="s">
        <v>6</v>
      </c>
      <c r="D209" t="s">
        <v>37</v>
      </c>
      <c r="E209" t="s">
        <v>30</v>
      </c>
      <c r="F209" s="4">
        <v>560</v>
      </c>
      <c r="G209" s="5">
        <v>81</v>
      </c>
      <c r="H209">
        <f>_xlfn.XLOOKUP(data1[[#This Row],[Product]],products[Product],products[Cost per unit])</f>
        <v>14.49</v>
      </c>
      <c r="I209">
        <f>data1[[#This Row],[Cost per unit]]*data1[[#This Row],[Units]]</f>
        <v>1173.69</v>
      </c>
    </row>
    <row r="210" spans="3:9" x14ac:dyDescent="0.3">
      <c r="C210" t="s">
        <v>8</v>
      </c>
      <c r="D210" t="s">
        <v>38</v>
      </c>
      <c r="E210" t="s">
        <v>21</v>
      </c>
      <c r="F210" s="4">
        <v>6433</v>
      </c>
      <c r="G210" s="5">
        <v>78</v>
      </c>
      <c r="H210">
        <f>_xlfn.XLOOKUP(data1[[#This Row],[Product]],products[Product],products[Cost per unit])</f>
        <v>9</v>
      </c>
      <c r="I210">
        <f>data1[[#This Row],[Cost per unit]]*data1[[#This Row],[Units]]</f>
        <v>702</v>
      </c>
    </row>
    <row r="211" spans="3:9" x14ac:dyDescent="0.3">
      <c r="C211" t="s">
        <v>3</v>
      </c>
      <c r="D211" t="s">
        <v>35</v>
      </c>
      <c r="E211" t="s">
        <v>23</v>
      </c>
      <c r="F211" s="4">
        <v>2023</v>
      </c>
      <c r="G211" s="5">
        <v>78</v>
      </c>
      <c r="H211">
        <f>_xlfn.XLOOKUP(data1[[#This Row],[Product]],products[Product],products[Cost per unit])</f>
        <v>6.49</v>
      </c>
      <c r="I211">
        <f>data1[[#This Row],[Cost per unit]]*data1[[#This Row],[Units]]</f>
        <v>506.22</v>
      </c>
    </row>
    <row r="212" spans="3:9" x14ac:dyDescent="0.3">
      <c r="C212" t="s">
        <v>2</v>
      </c>
      <c r="D212" t="s">
        <v>36</v>
      </c>
      <c r="E212" t="s">
        <v>29</v>
      </c>
      <c r="F212" s="4">
        <v>8211</v>
      </c>
      <c r="G212" s="5">
        <v>75</v>
      </c>
      <c r="H212">
        <f>_xlfn.XLOOKUP(data1[[#This Row],[Product]],products[Product],products[Cost per unit])</f>
        <v>7.16</v>
      </c>
      <c r="I212">
        <f>data1[[#This Row],[Cost per unit]]*data1[[#This Row],[Units]]</f>
        <v>537</v>
      </c>
    </row>
    <row r="213" spans="3:9" x14ac:dyDescent="0.3">
      <c r="C213" t="s">
        <v>6</v>
      </c>
      <c r="D213" t="s">
        <v>34</v>
      </c>
      <c r="E213" t="s">
        <v>29</v>
      </c>
      <c r="F213" s="4">
        <v>3339</v>
      </c>
      <c r="G213" s="5">
        <v>75</v>
      </c>
      <c r="H213">
        <f>_xlfn.XLOOKUP(data1[[#This Row],[Product]],products[Product],products[Cost per unit])</f>
        <v>7.16</v>
      </c>
      <c r="I213">
        <f>data1[[#This Row],[Cost per unit]]*data1[[#This Row],[Units]]</f>
        <v>537</v>
      </c>
    </row>
    <row r="214" spans="3:9" x14ac:dyDescent="0.3">
      <c r="C214" t="s">
        <v>7</v>
      </c>
      <c r="D214" t="s">
        <v>34</v>
      </c>
      <c r="E214" t="s">
        <v>32</v>
      </c>
      <c r="F214" s="4">
        <v>3262</v>
      </c>
      <c r="G214" s="5">
        <v>75</v>
      </c>
      <c r="H214">
        <f>_xlfn.XLOOKUP(data1[[#This Row],[Product]],products[Product],products[Cost per unit])</f>
        <v>8.65</v>
      </c>
      <c r="I214">
        <f>data1[[#This Row],[Cost per unit]]*data1[[#This Row],[Units]]</f>
        <v>648.75</v>
      </c>
    </row>
    <row r="215" spans="3:9" x14ac:dyDescent="0.3">
      <c r="C215" t="s">
        <v>40</v>
      </c>
      <c r="D215" t="s">
        <v>34</v>
      </c>
      <c r="E215" t="s">
        <v>23</v>
      </c>
      <c r="F215" s="4">
        <v>2779</v>
      </c>
      <c r="G215" s="5">
        <v>75</v>
      </c>
      <c r="H215">
        <f>_xlfn.XLOOKUP(data1[[#This Row],[Product]],products[Product],products[Cost per unit])</f>
        <v>6.49</v>
      </c>
      <c r="I215">
        <f>data1[[#This Row],[Cost per unit]]*data1[[#This Row],[Units]]</f>
        <v>486.75</v>
      </c>
    </row>
    <row r="216" spans="3:9" x14ac:dyDescent="0.3">
      <c r="C216" t="s">
        <v>6</v>
      </c>
      <c r="D216" t="s">
        <v>34</v>
      </c>
      <c r="E216" t="s">
        <v>16</v>
      </c>
      <c r="F216" s="4">
        <v>2219</v>
      </c>
      <c r="G216" s="5">
        <v>75</v>
      </c>
      <c r="H216">
        <f>_xlfn.XLOOKUP(data1[[#This Row],[Product]],products[Product],products[Cost per unit])</f>
        <v>8.7899999999999991</v>
      </c>
      <c r="I216">
        <f>data1[[#This Row],[Cost per unit]]*data1[[#This Row],[Units]]</f>
        <v>659.24999999999989</v>
      </c>
    </row>
    <row r="217" spans="3:9" x14ac:dyDescent="0.3">
      <c r="C217" t="s">
        <v>7</v>
      </c>
      <c r="D217" t="s">
        <v>38</v>
      </c>
      <c r="E217" t="s">
        <v>14</v>
      </c>
      <c r="F217" s="4">
        <v>1281</v>
      </c>
      <c r="G217" s="5">
        <v>75</v>
      </c>
      <c r="H217">
        <f>_xlfn.XLOOKUP(data1[[#This Row],[Product]],products[Product],products[Cost per unit])</f>
        <v>11.7</v>
      </c>
      <c r="I217">
        <f>data1[[#This Row],[Cost per unit]]*data1[[#This Row],[Units]]</f>
        <v>877.5</v>
      </c>
    </row>
    <row r="218" spans="3:9" x14ac:dyDescent="0.3">
      <c r="C218" t="s">
        <v>10</v>
      </c>
      <c r="D218" t="s">
        <v>36</v>
      </c>
      <c r="E218" t="s">
        <v>13</v>
      </c>
      <c r="F218" s="4">
        <v>945</v>
      </c>
      <c r="G218" s="5">
        <v>75</v>
      </c>
      <c r="H218">
        <f>_xlfn.XLOOKUP(data1[[#This Row],[Product]],products[Product],products[Cost per unit])</f>
        <v>9.33</v>
      </c>
      <c r="I218">
        <f>data1[[#This Row],[Cost per unit]]*data1[[#This Row],[Units]]</f>
        <v>699.75</v>
      </c>
    </row>
    <row r="219" spans="3:9" x14ac:dyDescent="0.3">
      <c r="C219" t="s">
        <v>5</v>
      </c>
      <c r="D219" t="s">
        <v>37</v>
      </c>
      <c r="E219" t="s">
        <v>22</v>
      </c>
      <c r="F219" s="4">
        <v>518</v>
      </c>
      <c r="G219" s="5">
        <v>75</v>
      </c>
      <c r="H219">
        <f>_xlfn.XLOOKUP(data1[[#This Row],[Product]],products[Product],products[Cost per unit])</f>
        <v>9.77</v>
      </c>
      <c r="I219">
        <f>data1[[#This Row],[Cost per unit]]*data1[[#This Row],[Units]]</f>
        <v>732.75</v>
      </c>
    </row>
    <row r="220" spans="3:9" x14ac:dyDescent="0.3">
      <c r="C220" t="s">
        <v>6</v>
      </c>
      <c r="D220" t="s">
        <v>38</v>
      </c>
      <c r="E220" t="s">
        <v>25</v>
      </c>
      <c r="F220" s="4">
        <v>469</v>
      </c>
      <c r="G220" s="5">
        <v>75</v>
      </c>
      <c r="H220">
        <f>_xlfn.XLOOKUP(data1[[#This Row],[Product]],products[Product],products[Cost per unit])</f>
        <v>13.15</v>
      </c>
      <c r="I220">
        <f>data1[[#This Row],[Cost per unit]]*data1[[#This Row],[Units]]</f>
        <v>986.25</v>
      </c>
    </row>
    <row r="221" spans="3:9" x14ac:dyDescent="0.3">
      <c r="C221" t="s">
        <v>40</v>
      </c>
      <c r="D221" t="s">
        <v>37</v>
      </c>
      <c r="E221" t="s">
        <v>29</v>
      </c>
      <c r="F221" s="4">
        <v>9002</v>
      </c>
      <c r="G221" s="5">
        <v>72</v>
      </c>
      <c r="H221">
        <f>_xlfn.XLOOKUP(data1[[#This Row],[Product]],products[Product],products[Cost per unit])</f>
        <v>7.16</v>
      </c>
      <c r="I221">
        <f>data1[[#This Row],[Cost per unit]]*data1[[#This Row],[Units]]</f>
        <v>515.52</v>
      </c>
    </row>
    <row r="222" spans="3:9" x14ac:dyDescent="0.3">
      <c r="C222" t="s">
        <v>41</v>
      </c>
      <c r="D222" t="s">
        <v>39</v>
      </c>
      <c r="E222" t="s">
        <v>14</v>
      </c>
      <c r="F222" s="4">
        <v>3976</v>
      </c>
      <c r="G222" s="5">
        <v>72</v>
      </c>
      <c r="H222">
        <f>_xlfn.XLOOKUP(data1[[#This Row],[Product]],products[Product],products[Cost per unit])</f>
        <v>11.7</v>
      </c>
      <c r="I222">
        <f>data1[[#This Row],[Cost per unit]]*data1[[#This Row],[Units]]</f>
        <v>842.4</v>
      </c>
    </row>
    <row r="223" spans="3:9" x14ac:dyDescent="0.3">
      <c r="C223" t="s">
        <v>9</v>
      </c>
      <c r="D223" t="s">
        <v>39</v>
      </c>
      <c r="E223" t="s">
        <v>25</v>
      </c>
      <c r="F223" s="4">
        <v>3192</v>
      </c>
      <c r="G223" s="5">
        <v>72</v>
      </c>
      <c r="H223">
        <f>_xlfn.XLOOKUP(data1[[#This Row],[Product]],products[Product],products[Cost per unit])</f>
        <v>13.15</v>
      </c>
      <c r="I223">
        <f>data1[[#This Row],[Cost per unit]]*data1[[#This Row],[Units]]</f>
        <v>946.80000000000007</v>
      </c>
    </row>
    <row r="224" spans="3:9" x14ac:dyDescent="0.3">
      <c r="C224" t="s">
        <v>10</v>
      </c>
      <c r="D224" t="s">
        <v>36</v>
      </c>
      <c r="E224" t="s">
        <v>27</v>
      </c>
      <c r="F224" s="4">
        <v>1407</v>
      </c>
      <c r="G224" s="5">
        <v>72</v>
      </c>
      <c r="H224">
        <f>_xlfn.XLOOKUP(data1[[#This Row],[Product]],products[Product],products[Cost per unit])</f>
        <v>16.73</v>
      </c>
      <c r="I224">
        <f>data1[[#This Row],[Cost per unit]]*data1[[#This Row],[Units]]</f>
        <v>1204.56</v>
      </c>
    </row>
    <row r="225" spans="3:9" x14ac:dyDescent="0.3">
      <c r="C225" t="s">
        <v>41</v>
      </c>
      <c r="D225" t="s">
        <v>35</v>
      </c>
      <c r="E225" t="s">
        <v>13</v>
      </c>
      <c r="F225" s="4">
        <v>4760</v>
      </c>
      <c r="G225" s="5">
        <v>69</v>
      </c>
      <c r="H225">
        <f>_xlfn.XLOOKUP(data1[[#This Row],[Product]],products[Product],products[Cost per unit])</f>
        <v>9.33</v>
      </c>
      <c r="I225">
        <f>data1[[#This Row],[Cost per unit]]*data1[[#This Row],[Units]]</f>
        <v>643.77</v>
      </c>
    </row>
    <row r="226" spans="3:9" x14ac:dyDescent="0.3">
      <c r="C226" t="s">
        <v>3</v>
      </c>
      <c r="D226" t="s">
        <v>35</v>
      </c>
      <c r="E226" t="s">
        <v>29</v>
      </c>
      <c r="F226" s="4">
        <v>2114</v>
      </c>
      <c r="G226" s="5">
        <v>66</v>
      </c>
      <c r="H226">
        <f>_xlfn.XLOOKUP(data1[[#This Row],[Product]],products[Product],products[Cost per unit])</f>
        <v>7.16</v>
      </c>
      <c r="I226">
        <f>data1[[#This Row],[Cost per unit]]*data1[[#This Row],[Units]]</f>
        <v>472.56</v>
      </c>
    </row>
    <row r="227" spans="3:9" x14ac:dyDescent="0.3">
      <c r="C227" t="s">
        <v>5</v>
      </c>
      <c r="D227" t="s">
        <v>36</v>
      </c>
      <c r="E227" t="s">
        <v>13</v>
      </c>
      <c r="F227" s="4">
        <v>6146</v>
      </c>
      <c r="G227" s="5">
        <v>63</v>
      </c>
      <c r="H227">
        <f>_xlfn.XLOOKUP(data1[[#This Row],[Product]],products[Product],products[Cost per unit])</f>
        <v>9.33</v>
      </c>
      <c r="I227">
        <f>data1[[#This Row],[Cost per unit]]*data1[[#This Row],[Units]]</f>
        <v>587.79</v>
      </c>
    </row>
    <row r="228" spans="3:9" x14ac:dyDescent="0.3">
      <c r="C228" t="s">
        <v>7</v>
      </c>
      <c r="D228" t="s">
        <v>35</v>
      </c>
      <c r="E228" t="s">
        <v>14</v>
      </c>
      <c r="F228" s="4">
        <v>4606</v>
      </c>
      <c r="G228" s="5">
        <v>63</v>
      </c>
      <c r="H228">
        <f>_xlfn.XLOOKUP(data1[[#This Row],[Product]],products[Product],products[Cost per unit])</f>
        <v>11.7</v>
      </c>
      <c r="I228">
        <f>data1[[#This Row],[Cost per unit]]*data1[[#This Row],[Units]]</f>
        <v>737.09999999999991</v>
      </c>
    </row>
    <row r="229" spans="3:9" x14ac:dyDescent="0.3">
      <c r="C229" t="s">
        <v>8</v>
      </c>
      <c r="D229" t="s">
        <v>38</v>
      </c>
      <c r="E229" t="s">
        <v>27</v>
      </c>
      <c r="F229" s="4">
        <v>2268</v>
      </c>
      <c r="G229" s="5">
        <v>63</v>
      </c>
      <c r="H229">
        <f>_xlfn.XLOOKUP(data1[[#This Row],[Product]],products[Product],products[Cost per unit])</f>
        <v>16.73</v>
      </c>
      <c r="I229">
        <f>data1[[#This Row],[Cost per unit]]*data1[[#This Row],[Units]]</f>
        <v>1053.99</v>
      </c>
    </row>
    <row r="230" spans="3:9" x14ac:dyDescent="0.3">
      <c r="C230" t="s">
        <v>6</v>
      </c>
      <c r="D230" t="s">
        <v>39</v>
      </c>
      <c r="E230" t="s">
        <v>30</v>
      </c>
      <c r="F230" s="4">
        <v>1638</v>
      </c>
      <c r="G230" s="5">
        <v>63</v>
      </c>
      <c r="H230">
        <f>_xlfn.XLOOKUP(data1[[#This Row],[Product]],products[Product],products[Cost per unit])</f>
        <v>14.49</v>
      </c>
      <c r="I230">
        <f>data1[[#This Row],[Cost per unit]]*data1[[#This Row],[Units]]</f>
        <v>912.87</v>
      </c>
    </row>
    <row r="231" spans="3:9" x14ac:dyDescent="0.3">
      <c r="C231" t="s">
        <v>6</v>
      </c>
      <c r="D231" t="s">
        <v>36</v>
      </c>
      <c r="E231" t="s">
        <v>21</v>
      </c>
      <c r="F231" s="4">
        <v>497</v>
      </c>
      <c r="G231" s="5">
        <v>63</v>
      </c>
      <c r="H231">
        <f>_xlfn.XLOOKUP(data1[[#This Row],[Product]],products[Product],products[Cost per unit])</f>
        <v>9</v>
      </c>
      <c r="I231">
        <f>data1[[#This Row],[Cost per unit]]*data1[[#This Row],[Units]]</f>
        <v>567</v>
      </c>
    </row>
    <row r="232" spans="3:9" x14ac:dyDescent="0.3">
      <c r="C232" t="s">
        <v>9</v>
      </c>
      <c r="D232" t="s">
        <v>38</v>
      </c>
      <c r="E232" t="s">
        <v>24</v>
      </c>
      <c r="F232" s="4">
        <v>4137</v>
      </c>
      <c r="G232" s="5">
        <v>60</v>
      </c>
      <c r="H232">
        <f>_xlfn.XLOOKUP(data1[[#This Row],[Product]],products[Product],products[Cost per unit])</f>
        <v>4.97</v>
      </c>
      <c r="I232">
        <f>data1[[#This Row],[Cost per unit]]*data1[[#This Row],[Units]]</f>
        <v>298.2</v>
      </c>
    </row>
    <row r="233" spans="3:9" x14ac:dyDescent="0.3">
      <c r="C233" t="s">
        <v>9</v>
      </c>
      <c r="D233" t="s">
        <v>36</v>
      </c>
      <c r="E233" t="s">
        <v>30</v>
      </c>
      <c r="F233" s="4">
        <v>9051</v>
      </c>
      <c r="G233" s="5">
        <v>57</v>
      </c>
      <c r="H233">
        <f>_xlfn.XLOOKUP(data1[[#This Row],[Product]],products[Product],products[Cost per unit])</f>
        <v>14.49</v>
      </c>
      <c r="I233">
        <f>data1[[#This Row],[Cost per unit]]*data1[[#This Row],[Units]]</f>
        <v>825.93000000000006</v>
      </c>
    </row>
    <row r="234" spans="3:9" x14ac:dyDescent="0.3">
      <c r="C234" t="s">
        <v>5</v>
      </c>
      <c r="D234" t="s">
        <v>38</v>
      </c>
      <c r="E234" t="s">
        <v>13</v>
      </c>
      <c r="F234" s="4">
        <v>7189</v>
      </c>
      <c r="G234" s="5">
        <v>54</v>
      </c>
      <c r="H234">
        <f>_xlfn.XLOOKUP(data1[[#This Row],[Product]],products[Product],products[Cost per unit])</f>
        <v>9.33</v>
      </c>
      <c r="I234">
        <f>data1[[#This Row],[Cost per unit]]*data1[[#This Row],[Units]]</f>
        <v>503.82</v>
      </c>
    </row>
    <row r="235" spans="3:9" x14ac:dyDescent="0.3">
      <c r="C235" t="s">
        <v>7</v>
      </c>
      <c r="D235" t="s">
        <v>37</v>
      </c>
      <c r="E235" t="s">
        <v>30</v>
      </c>
      <c r="F235" s="4">
        <v>6454</v>
      </c>
      <c r="G235" s="5">
        <v>54</v>
      </c>
      <c r="H235">
        <f>_xlfn.XLOOKUP(data1[[#This Row],[Product]],products[Product],products[Cost per unit])</f>
        <v>14.49</v>
      </c>
      <c r="I235">
        <f>data1[[#This Row],[Cost per unit]]*data1[[#This Row],[Units]]</f>
        <v>782.46</v>
      </c>
    </row>
    <row r="236" spans="3:9" x14ac:dyDescent="0.3">
      <c r="C236" t="s">
        <v>3</v>
      </c>
      <c r="D236" t="s">
        <v>34</v>
      </c>
      <c r="E236" t="s">
        <v>26</v>
      </c>
      <c r="F236" s="4">
        <v>3108</v>
      </c>
      <c r="G236" s="5">
        <v>54</v>
      </c>
      <c r="H236">
        <f>_xlfn.XLOOKUP(data1[[#This Row],[Product]],products[Product],products[Cost per unit])</f>
        <v>5.6</v>
      </c>
      <c r="I236">
        <f>data1[[#This Row],[Cost per unit]]*data1[[#This Row],[Units]]</f>
        <v>302.39999999999998</v>
      </c>
    </row>
    <row r="237" spans="3:9" x14ac:dyDescent="0.3">
      <c r="C237" t="s">
        <v>6</v>
      </c>
      <c r="D237" t="s">
        <v>38</v>
      </c>
      <c r="E237" t="s">
        <v>31</v>
      </c>
      <c r="F237" s="4">
        <v>2681</v>
      </c>
      <c r="G237" s="5">
        <v>54</v>
      </c>
      <c r="H237">
        <f>_xlfn.XLOOKUP(data1[[#This Row],[Product]],products[Product],products[Cost per unit])</f>
        <v>5.79</v>
      </c>
      <c r="I237">
        <f>data1[[#This Row],[Cost per unit]]*data1[[#This Row],[Units]]</f>
        <v>312.66000000000003</v>
      </c>
    </row>
    <row r="238" spans="3:9" x14ac:dyDescent="0.3">
      <c r="C238" t="s">
        <v>2</v>
      </c>
      <c r="D238" t="s">
        <v>37</v>
      </c>
      <c r="E238" t="s">
        <v>14</v>
      </c>
      <c r="F238" s="4">
        <v>1057</v>
      </c>
      <c r="G238" s="5">
        <v>54</v>
      </c>
      <c r="H238">
        <f>_xlfn.XLOOKUP(data1[[#This Row],[Product]],products[Product],products[Cost per unit])</f>
        <v>11.7</v>
      </c>
      <c r="I238">
        <f>data1[[#This Row],[Cost per unit]]*data1[[#This Row],[Units]]</f>
        <v>631.79999999999995</v>
      </c>
    </row>
    <row r="239" spans="3:9" x14ac:dyDescent="0.3">
      <c r="C239" t="s">
        <v>2</v>
      </c>
      <c r="D239" t="s">
        <v>34</v>
      </c>
      <c r="E239" t="s">
        <v>13</v>
      </c>
      <c r="F239" s="4">
        <v>252</v>
      </c>
      <c r="G239" s="5">
        <v>54</v>
      </c>
      <c r="H239">
        <f>_xlfn.XLOOKUP(data1[[#This Row],[Product]],products[Product],products[Cost per unit])</f>
        <v>9.33</v>
      </c>
      <c r="I239">
        <f>data1[[#This Row],[Cost per unit]]*data1[[#This Row],[Units]]</f>
        <v>503.82</v>
      </c>
    </row>
    <row r="240" spans="3:9" x14ac:dyDescent="0.3">
      <c r="C240" t="s">
        <v>5</v>
      </c>
      <c r="D240" t="s">
        <v>39</v>
      </c>
      <c r="E240" t="s">
        <v>26</v>
      </c>
      <c r="F240" s="4">
        <v>5236</v>
      </c>
      <c r="G240" s="5">
        <v>51</v>
      </c>
      <c r="H240">
        <f>_xlfn.XLOOKUP(data1[[#This Row],[Product]],products[Product],products[Cost per unit])</f>
        <v>5.6</v>
      </c>
      <c r="I240">
        <f>data1[[#This Row],[Cost per unit]]*data1[[#This Row],[Units]]</f>
        <v>285.59999999999997</v>
      </c>
    </row>
    <row r="241" spans="3:9" x14ac:dyDescent="0.3">
      <c r="C241" t="s">
        <v>3</v>
      </c>
      <c r="D241" t="s">
        <v>39</v>
      </c>
      <c r="E241" t="s">
        <v>29</v>
      </c>
      <c r="F241" s="4">
        <v>3640</v>
      </c>
      <c r="G241" s="5">
        <v>51</v>
      </c>
      <c r="H241">
        <f>_xlfn.XLOOKUP(data1[[#This Row],[Product]],products[Product],products[Cost per unit])</f>
        <v>7.16</v>
      </c>
      <c r="I241">
        <f>data1[[#This Row],[Cost per unit]]*data1[[#This Row],[Units]]</f>
        <v>365.16</v>
      </c>
    </row>
    <row r="242" spans="3:9" x14ac:dyDescent="0.3">
      <c r="C242" t="s">
        <v>40</v>
      </c>
      <c r="D242" t="s">
        <v>38</v>
      </c>
      <c r="E242" t="s">
        <v>24</v>
      </c>
      <c r="F242" s="4">
        <v>623</v>
      </c>
      <c r="G242" s="5">
        <v>51</v>
      </c>
      <c r="H242">
        <f>_xlfn.XLOOKUP(data1[[#This Row],[Product]],products[Product],products[Cost per unit])</f>
        <v>4.97</v>
      </c>
      <c r="I242">
        <f>data1[[#This Row],[Cost per unit]]*data1[[#This Row],[Units]]</f>
        <v>253.47</v>
      </c>
    </row>
    <row r="243" spans="3:9" x14ac:dyDescent="0.3">
      <c r="C243" t="s">
        <v>2</v>
      </c>
      <c r="D243" t="s">
        <v>38</v>
      </c>
      <c r="E243" t="s">
        <v>13</v>
      </c>
      <c r="F243" s="4">
        <v>56</v>
      </c>
      <c r="G243" s="5">
        <v>51</v>
      </c>
      <c r="H243">
        <f>_xlfn.XLOOKUP(data1[[#This Row],[Product]],products[Product],products[Cost per unit])</f>
        <v>9.33</v>
      </c>
      <c r="I243">
        <f>data1[[#This Row],[Cost per unit]]*data1[[#This Row],[Units]]</f>
        <v>475.83</v>
      </c>
    </row>
    <row r="244" spans="3:9" x14ac:dyDescent="0.3">
      <c r="C244" t="s">
        <v>40</v>
      </c>
      <c r="D244" t="s">
        <v>34</v>
      </c>
      <c r="E244" t="s">
        <v>26</v>
      </c>
      <c r="F244" s="4">
        <v>6748</v>
      </c>
      <c r="G244" s="5">
        <v>48</v>
      </c>
      <c r="H244">
        <f>_xlfn.XLOOKUP(data1[[#This Row],[Product]],products[Product],products[Cost per unit])</f>
        <v>5.6</v>
      </c>
      <c r="I244">
        <f>data1[[#This Row],[Cost per unit]]*data1[[#This Row],[Units]]</f>
        <v>268.79999999999995</v>
      </c>
    </row>
    <row r="245" spans="3:9" x14ac:dyDescent="0.3">
      <c r="C245" t="s">
        <v>7</v>
      </c>
      <c r="D245" t="s">
        <v>37</v>
      </c>
      <c r="E245" t="s">
        <v>33</v>
      </c>
      <c r="F245" s="4">
        <v>6391</v>
      </c>
      <c r="G245" s="5">
        <v>48</v>
      </c>
      <c r="H245">
        <f>_xlfn.XLOOKUP(data1[[#This Row],[Product]],products[Product],products[Cost per unit])</f>
        <v>12.37</v>
      </c>
      <c r="I245">
        <f>data1[[#This Row],[Cost per unit]]*data1[[#This Row],[Units]]</f>
        <v>593.76</v>
      </c>
    </row>
    <row r="246" spans="3:9" x14ac:dyDescent="0.3">
      <c r="C246" t="s">
        <v>7</v>
      </c>
      <c r="D246" t="s">
        <v>34</v>
      </c>
      <c r="E246" t="s">
        <v>33</v>
      </c>
      <c r="F246" s="4">
        <v>2226</v>
      </c>
      <c r="G246" s="5">
        <v>48</v>
      </c>
      <c r="H246">
        <f>_xlfn.XLOOKUP(data1[[#This Row],[Product]],products[Product],products[Cost per unit])</f>
        <v>12.37</v>
      </c>
      <c r="I246">
        <f>data1[[#This Row],[Cost per unit]]*data1[[#This Row],[Units]]</f>
        <v>593.76</v>
      </c>
    </row>
    <row r="247" spans="3:9" x14ac:dyDescent="0.3">
      <c r="C247" t="s">
        <v>40</v>
      </c>
      <c r="D247" t="s">
        <v>35</v>
      </c>
      <c r="E247" t="s">
        <v>24</v>
      </c>
      <c r="F247" s="4">
        <v>1638</v>
      </c>
      <c r="G247" s="5">
        <v>48</v>
      </c>
      <c r="H247">
        <f>_xlfn.XLOOKUP(data1[[#This Row],[Product]],products[Product],products[Cost per unit])</f>
        <v>4.97</v>
      </c>
      <c r="I247">
        <f>data1[[#This Row],[Cost per unit]]*data1[[#This Row],[Units]]</f>
        <v>238.56</v>
      </c>
    </row>
    <row r="248" spans="3:9" x14ac:dyDescent="0.3">
      <c r="C248" t="s">
        <v>6</v>
      </c>
      <c r="D248" t="s">
        <v>34</v>
      </c>
      <c r="E248" t="s">
        <v>4</v>
      </c>
      <c r="F248" s="4">
        <v>525</v>
      </c>
      <c r="G248" s="5">
        <v>48</v>
      </c>
      <c r="H248">
        <f>_xlfn.XLOOKUP(data1[[#This Row],[Product]],products[Product],products[Cost per unit])</f>
        <v>11.88</v>
      </c>
      <c r="I248">
        <f>data1[[#This Row],[Cost per unit]]*data1[[#This Row],[Units]]</f>
        <v>570.24</v>
      </c>
    </row>
    <row r="249" spans="3:9" x14ac:dyDescent="0.3">
      <c r="C249" t="s">
        <v>2</v>
      </c>
      <c r="D249" t="s">
        <v>36</v>
      </c>
      <c r="E249" t="s">
        <v>17</v>
      </c>
      <c r="F249" s="4">
        <v>189</v>
      </c>
      <c r="G249" s="5">
        <v>48</v>
      </c>
      <c r="H249">
        <f>_xlfn.XLOOKUP(data1[[#This Row],[Product]],products[Product],products[Cost per unit])</f>
        <v>3.11</v>
      </c>
      <c r="I249">
        <f>data1[[#This Row],[Cost per unit]]*data1[[#This Row],[Units]]</f>
        <v>149.28</v>
      </c>
    </row>
    <row r="250" spans="3:9" x14ac:dyDescent="0.3">
      <c r="C250" t="s">
        <v>5</v>
      </c>
      <c r="D250" t="s">
        <v>37</v>
      </c>
      <c r="E250" t="s">
        <v>31</v>
      </c>
      <c r="F250" s="4">
        <v>182</v>
      </c>
      <c r="G250" s="5">
        <v>48</v>
      </c>
      <c r="H250">
        <f>_xlfn.XLOOKUP(data1[[#This Row],[Product]],products[Product],products[Cost per unit])</f>
        <v>5.79</v>
      </c>
      <c r="I250">
        <f>data1[[#This Row],[Cost per unit]]*data1[[#This Row],[Units]]</f>
        <v>277.92</v>
      </c>
    </row>
    <row r="251" spans="3:9" x14ac:dyDescent="0.3">
      <c r="C251" t="s">
        <v>5</v>
      </c>
      <c r="D251" t="s">
        <v>38</v>
      </c>
      <c r="E251" t="s">
        <v>25</v>
      </c>
      <c r="F251" s="4">
        <v>7483</v>
      </c>
      <c r="G251" s="5">
        <v>45</v>
      </c>
      <c r="H251">
        <f>_xlfn.XLOOKUP(data1[[#This Row],[Product]],products[Product],products[Cost per unit])</f>
        <v>13.15</v>
      </c>
      <c r="I251">
        <f>data1[[#This Row],[Cost per unit]]*data1[[#This Row],[Units]]</f>
        <v>591.75</v>
      </c>
    </row>
    <row r="252" spans="3:9" x14ac:dyDescent="0.3">
      <c r="C252" t="s">
        <v>8</v>
      </c>
      <c r="D252" t="s">
        <v>37</v>
      </c>
      <c r="E252" t="s">
        <v>26</v>
      </c>
      <c r="F252" s="4">
        <v>6279</v>
      </c>
      <c r="G252" s="5">
        <v>45</v>
      </c>
      <c r="H252">
        <f>_xlfn.XLOOKUP(data1[[#This Row],[Product]],products[Product],products[Cost per unit])</f>
        <v>5.6</v>
      </c>
      <c r="I252">
        <f>data1[[#This Row],[Cost per unit]]*data1[[#This Row],[Units]]</f>
        <v>251.99999999999997</v>
      </c>
    </row>
    <row r="253" spans="3:9" x14ac:dyDescent="0.3">
      <c r="C253" t="s">
        <v>9</v>
      </c>
      <c r="D253" t="s">
        <v>37</v>
      </c>
      <c r="E253" t="s">
        <v>28</v>
      </c>
      <c r="F253" s="4">
        <v>2919</v>
      </c>
      <c r="G253" s="5">
        <v>45</v>
      </c>
      <c r="H253">
        <f>_xlfn.XLOOKUP(data1[[#This Row],[Product]],products[Product],products[Cost per unit])</f>
        <v>10.38</v>
      </c>
      <c r="I253">
        <f>data1[[#This Row],[Cost per unit]]*data1[[#This Row],[Units]]</f>
        <v>467.1</v>
      </c>
    </row>
    <row r="254" spans="3:9" x14ac:dyDescent="0.3">
      <c r="C254" t="s">
        <v>40</v>
      </c>
      <c r="D254" t="s">
        <v>38</v>
      </c>
      <c r="E254" t="s">
        <v>29</v>
      </c>
      <c r="F254" s="4">
        <v>2541</v>
      </c>
      <c r="G254" s="5">
        <v>45</v>
      </c>
      <c r="H254">
        <f>_xlfn.XLOOKUP(data1[[#This Row],[Product]],products[Product],products[Cost per unit])</f>
        <v>7.16</v>
      </c>
      <c r="I254">
        <f>data1[[#This Row],[Cost per unit]]*data1[[#This Row],[Units]]</f>
        <v>322.2</v>
      </c>
    </row>
    <row r="255" spans="3:9" x14ac:dyDescent="0.3">
      <c r="C255" t="s">
        <v>7</v>
      </c>
      <c r="D255" t="s">
        <v>36</v>
      </c>
      <c r="E255" t="s">
        <v>22</v>
      </c>
      <c r="F255" s="4">
        <v>8435</v>
      </c>
      <c r="G255" s="5">
        <v>42</v>
      </c>
      <c r="H255">
        <f>_xlfn.XLOOKUP(data1[[#This Row],[Product]],products[Product],products[Cost per unit])</f>
        <v>9.77</v>
      </c>
      <c r="I255">
        <f>data1[[#This Row],[Cost per unit]]*data1[[#This Row],[Units]]</f>
        <v>410.34</v>
      </c>
    </row>
    <row r="256" spans="3:9" x14ac:dyDescent="0.3">
      <c r="C256" t="s">
        <v>3</v>
      </c>
      <c r="D256" t="s">
        <v>34</v>
      </c>
      <c r="E256" t="s">
        <v>25</v>
      </c>
      <c r="F256" s="4">
        <v>6300</v>
      </c>
      <c r="G256" s="5">
        <v>42</v>
      </c>
      <c r="H256">
        <f>_xlfn.XLOOKUP(data1[[#This Row],[Product]],products[Product],products[Cost per unit])</f>
        <v>13.15</v>
      </c>
      <c r="I256">
        <f>data1[[#This Row],[Cost per unit]]*data1[[#This Row],[Units]]</f>
        <v>552.30000000000007</v>
      </c>
    </row>
    <row r="257" spans="3:9" x14ac:dyDescent="0.3">
      <c r="C257" t="s">
        <v>40</v>
      </c>
      <c r="D257" t="s">
        <v>39</v>
      </c>
      <c r="E257" t="s">
        <v>15</v>
      </c>
      <c r="F257" s="4">
        <v>5775</v>
      </c>
      <c r="G257" s="5">
        <v>42</v>
      </c>
      <c r="H257">
        <f>_xlfn.XLOOKUP(data1[[#This Row],[Product]],products[Product],products[Cost per unit])</f>
        <v>11.73</v>
      </c>
      <c r="I257">
        <f>data1[[#This Row],[Cost per unit]]*data1[[#This Row],[Units]]</f>
        <v>492.66</v>
      </c>
    </row>
    <row r="258" spans="3:9" x14ac:dyDescent="0.3">
      <c r="C258" t="s">
        <v>2</v>
      </c>
      <c r="D258" t="s">
        <v>37</v>
      </c>
      <c r="E258" t="s">
        <v>15</v>
      </c>
      <c r="F258" s="4">
        <v>2863</v>
      </c>
      <c r="G258" s="5">
        <v>42</v>
      </c>
      <c r="H258">
        <f>_xlfn.XLOOKUP(data1[[#This Row],[Product]],products[Product],products[Cost per unit])</f>
        <v>11.73</v>
      </c>
      <c r="I258">
        <f>data1[[#This Row],[Cost per unit]]*data1[[#This Row],[Units]]</f>
        <v>492.66</v>
      </c>
    </row>
    <row r="259" spans="3:9" x14ac:dyDescent="0.3">
      <c r="C259" t="s">
        <v>5</v>
      </c>
      <c r="D259" t="s">
        <v>36</v>
      </c>
      <c r="E259" t="s">
        <v>16</v>
      </c>
      <c r="F259" s="4">
        <v>16184</v>
      </c>
      <c r="G259" s="5">
        <v>39</v>
      </c>
      <c r="H259">
        <f>_xlfn.XLOOKUP(data1[[#This Row],[Product]],products[Product],products[Cost per unit])</f>
        <v>8.7899999999999991</v>
      </c>
      <c r="I259">
        <f>data1[[#This Row],[Cost per unit]]*data1[[#This Row],[Units]]</f>
        <v>342.80999999999995</v>
      </c>
    </row>
    <row r="260" spans="3:9" x14ac:dyDescent="0.3">
      <c r="C260" t="s">
        <v>7</v>
      </c>
      <c r="D260" t="s">
        <v>34</v>
      </c>
      <c r="E260" t="s">
        <v>17</v>
      </c>
      <c r="F260" s="4">
        <v>7777</v>
      </c>
      <c r="G260" s="5">
        <v>39</v>
      </c>
      <c r="H260">
        <f>_xlfn.XLOOKUP(data1[[#This Row],[Product]],products[Product],products[Cost per unit])</f>
        <v>3.11</v>
      </c>
      <c r="I260">
        <f>data1[[#This Row],[Cost per unit]]*data1[[#This Row],[Units]]</f>
        <v>121.28999999999999</v>
      </c>
    </row>
    <row r="261" spans="3:9" x14ac:dyDescent="0.3">
      <c r="C261" t="s">
        <v>3</v>
      </c>
      <c r="D261" t="s">
        <v>36</v>
      </c>
      <c r="E261" t="s">
        <v>25</v>
      </c>
      <c r="F261" s="4">
        <v>3339</v>
      </c>
      <c r="G261" s="5">
        <v>39</v>
      </c>
      <c r="H261">
        <f>_xlfn.XLOOKUP(data1[[#This Row],[Product]],products[Product],products[Cost per unit])</f>
        <v>13.15</v>
      </c>
      <c r="I261">
        <f>data1[[#This Row],[Cost per unit]]*data1[[#This Row],[Units]]</f>
        <v>512.85</v>
      </c>
    </row>
    <row r="262" spans="3:9" x14ac:dyDescent="0.3">
      <c r="C262" t="s">
        <v>40</v>
      </c>
      <c r="D262" t="s">
        <v>38</v>
      </c>
      <c r="E262" t="s">
        <v>31</v>
      </c>
      <c r="F262" s="4">
        <v>1988</v>
      </c>
      <c r="G262" s="5">
        <v>39</v>
      </c>
      <c r="H262">
        <f>_xlfn.XLOOKUP(data1[[#This Row],[Product]],products[Product],products[Cost per unit])</f>
        <v>5.79</v>
      </c>
      <c r="I262">
        <f>data1[[#This Row],[Cost per unit]]*data1[[#This Row],[Units]]</f>
        <v>225.81</v>
      </c>
    </row>
    <row r="263" spans="3:9" x14ac:dyDescent="0.3">
      <c r="C263" t="s">
        <v>41</v>
      </c>
      <c r="D263" t="s">
        <v>34</v>
      </c>
      <c r="E263" t="s">
        <v>17</v>
      </c>
      <c r="F263" s="4">
        <v>1463</v>
      </c>
      <c r="G263" s="5">
        <v>39</v>
      </c>
      <c r="H263">
        <f>_xlfn.XLOOKUP(data1[[#This Row],[Product]],products[Product],products[Cost per unit])</f>
        <v>3.11</v>
      </c>
      <c r="I263">
        <f>data1[[#This Row],[Cost per unit]]*data1[[#This Row],[Units]]</f>
        <v>121.28999999999999</v>
      </c>
    </row>
    <row r="264" spans="3:9" x14ac:dyDescent="0.3">
      <c r="C264" t="s">
        <v>3</v>
      </c>
      <c r="D264" t="s">
        <v>36</v>
      </c>
      <c r="E264" t="s">
        <v>16</v>
      </c>
      <c r="F264" s="4">
        <v>9198</v>
      </c>
      <c r="G264" s="5">
        <v>36</v>
      </c>
      <c r="H264">
        <f>_xlfn.XLOOKUP(data1[[#This Row],[Product]],products[Product],products[Cost per unit])</f>
        <v>8.7899999999999991</v>
      </c>
      <c r="I264">
        <f>data1[[#This Row],[Cost per unit]]*data1[[#This Row],[Units]]</f>
        <v>316.43999999999994</v>
      </c>
    </row>
    <row r="265" spans="3:9" x14ac:dyDescent="0.3">
      <c r="C265" t="s">
        <v>6</v>
      </c>
      <c r="D265" t="s">
        <v>38</v>
      </c>
      <c r="E265" t="s">
        <v>21</v>
      </c>
      <c r="F265" s="4">
        <v>7322</v>
      </c>
      <c r="G265" s="5">
        <v>36</v>
      </c>
      <c r="H265">
        <f>_xlfn.XLOOKUP(data1[[#This Row],[Product]],products[Product],products[Cost per unit])</f>
        <v>9</v>
      </c>
      <c r="I265">
        <f>data1[[#This Row],[Cost per unit]]*data1[[#This Row],[Units]]</f>
        <v>324</v>
      </c>
    </row>
    <row r="266" spans="3:9" x14ac:dyDescent="0.3">
      <c r="C266" t="s">
        <v>2</v>
      </c>
      <c r="D266" t="s">
        <v>39</v>
      </c>
      <c r="E266" t="s">
        <v>15</v>
      </c>
      <c r="F266" s="4">
        <v>4802</v>
      </c>
      <c r="G266" s="5">
        <v>36</v>
      </c>
      <c r="H266">
        <f>_xlfn.XLOOKUP(data1[[#This Row],[Product]],products[Product],products[Cost per unit])</f>
        <v>11.73</v>
      </c>
      <c r="I266">
        <f>data1[[#This Row],[Cost per unit]]*data1[[#This Row],[Units]]</f>
        <v>422.28000000000003</v>
      </c>
    </row>
    <row r="267" spans="3:9" x14ac:dyDescent="0.3">
      <c r="C267" t="s">
        <v>2</v>
      </c>
      <c r="D267" t="s">
        <v>39</v>
      </c>
      <c r="E267" t="s">
        <v>23</v>
      </c>
      <c r="F267" s="4">
        <v>630</v>
      </c>
      <c r="G267" s="5">
        <v>36</v>
      </c>
      <c r="H267">
        <f>_xlfn.XLOOKUP(data1[[#This Row],[Product]],products[Product],products[Cost per unit])</f>
        <v>6.49</v>
      </c>
      <c r="I267">
        <f>data1[[#This Row],[Cost per unit]]*data1[[#This Row],[Units]]</f>
        <v>233.64000000000001</v>
      </c>
    </row>
    <row r="268" spans="3:9" x14ac:dyDescent="0.3">
      <c r="C268" t="s">
        <v>40</v>
      </c>
      <c r="D268" t="s">
        <v>36</v>
      </c>
      <c r="E268" t="s">
        <v>4</v>
      </c>
      <c r="F268" s="4">
        <v>217</v>
      </c>
      <c r="G268" s="5">
        <v>36</v>
      </c>
      <c r="H268">
        <f>_xlfn.XLOOKUP(data1[[#This Row],[Product]],products[Product],products[Cost per unit])</f>
        <v>11.88</v>
      </c>
      <c r="I268">
        <f>data1[[#This Row],[Cost per unit]]*data1[[#This Row],[Units]]</f>
        <v>427.68</v>
      </c>
    </row>
    <row r="269" spans="3:9" x14ac:dyDescent="0.3">
      <c r="C269" t="s">
        <v>10</v>
      </c>
      <c r="D269" t="s">
        <v>39</v>
      </c>
      <c r="E269" t="s">
        <v>33</v>
      </c>
      <c r="F269" s="4">
        <v>12950</v>
      </c>
      <c r="G269" s="5">
        <v>30</v>
      </c>
      <c r="H269">
        <f>_xlfn.XLOOKUP(data1[[#This Row],[Product]],products[Product],products[Cost per unit])</f>
        <v>12.37</v>
      </c>
      <c r="I269">
        <f>data1[[#This Row],[Cost per unit]]*data1[[#This Row],[Units]]</f>
        <v>371.09999999999997</v>
      </c>
    </row>
    <row r="270" spans="3:9" x14ac:dyDescent="0.3">
      <c r="C270" t="s">
        <v>8</v>
      </c>
      <c r="D270" t="s">
        <v>37</v>
      </c>
      <c r="E270" t="s">
        <v>15</v>
      </c>
      <c r="F270" s="4">
        <v>9709</v>
      </c>
      <c r="G270" s="5">
        <v>30</v>
      </c>
      <c r="H270">
        <f>_xlfn.XLOOKUP(data1[[#This Row],[Product]],products[Product],products[Cost per unit])</f>
        <v>11.73</v>
      </c>
      <c r="I270">
        <f>data1[[#This Row],[Cost per unit]]*data1[[#This Row],[Units]]</f>
        <v>351.90000000000003</v>
      </c>
    </row>
    <row r="271" spans="3:9" x14ac:dyDescent="0.3">
      <c r="C271" t="s">
        <v>40</v>
      </c>
      <c r="D271" t="s">
        <v>39</v>
      </c>
      <c r="E271" t="s">
        <v>27</v>
      </c>
      <c r="F271" s="4">
        <v>6370</v>
      </c>
      <c r="G271" s="5">
        <v>30</v>
      </c>
      <c r="H271">
        <f>_xlfn.XLOOKUP(data1[[#This Row],[Product]],products[Product],products[Cost per unit])</f>
        <v>16.73</v>
      </c>
      <c r="I271">
        <f>data1[[#This Row],[Cost per unit]]*data1[[#This Row],[Units]]</f>
        <v>501.90000000000003</v>
      </c>
    </row>
    <row r="272" spans="3:9" x14ac:dyDescent="0.3">
      <c r="C272" t="s">
        <v>40</v>
      </c>
      <c r="D272" t="s">
        <v>36</v>
      </c>
      <c r="E272" t="s">
        <v>25</v>
      </c>
      <c r="F272" s="4">
        <v>5439</v>
      </c>
      <c r="G272" s="5">
        <v>30</v>
      </c>
      <c r="H272">
        <f>_xlfn.XLOOKUP(data1[[#This Row],[Product]],products[Product],products[Cost per unit])</f>
        <v>13.15</v>
      </c>
      <c r="I272">
        <f>data1[[#This Row],[Cost per unit]]*data1[[#This Row],[Units]]</f>
        <v>394.5</v>
      </c>
    </row>
    <row r="273" spans="3:9" x14ac:dyDescent="0.3">
      <c r="C273" t="s">
        <v>10</v>
      </c>
      <c r="D273" t="s">
        <v>37</v>
      </c>
      <c r="E273" t="s">
        <v>23</v>
      </c>
      <c r="F273" s="4">
        <v>4683</v>
      </c>
      <c r="G273" s="5">
        <v>30</v>
      </c>
      <c r="H273">
        <f>_xlfn.XLOOKUP(data1[[#This Row],[Product]],products[Product],products[Cost per unit])</f>
        <v>6.49</v>
      </c>
      <c r="I273">
        <f>data1[[#This Row],[Cost per unit]]*data1[[#This Row],[Units]]</f>
        <v>194.70000000000002</v>
      </c>
    </row>
    <row r="274" spans="3:9" x14ac:dyDescent="0.3">
      <c r="C274" t="s">
        <v>6</v>
      </c>
      <c r="D274" t="s">
        <v>36</v>
      </c>
      <c r="E274" t="s">
        <v>13</v>
      </c>
      <c r="F274" s="4">
        <v>4319</v>
      </c>
      <c r="G274" s="5">
        <v>30</v>
      </c>
      <c r="H274">
        <f>_xlfn.XLOOKUP(data1[[#This Row],[Product]],products[Product],products[Cost per unit])</f>
        <v>9.33</v>
      </c>
      <c r="I274">
        <f>data1[[#This Row],[Cost per unit]]*data1[[#This Row],[Units]]</f>
        <v>279.89999999999998</v>
      </c>
    </row>
    <row r="275" spans="3:9" x14ac:dyDescent="0.3">
      <c r="C275" t="s">
        <v>8</v>
      </c>
      <c r="D275" t="s">
        <v>39</v>
      </c>
      <c r="E275" t="s">
        <v>18</v>
      </c>
      <c r="F275" s="4">
        <v>9660</v>
      </c>
      <c r="G275" s="5">
        <v>27</v>
      </c>
      <c r="H275">
        <f>_xlfn.XLOOKUP(data1[[#This Row],[Product]],products[Product],products[Cost per unit])</f>
        <v>6.47</v>
      </c>
      <c r="I275">
        <f>data1[[#This Row],[Cost per unit]]*data1[[#This Row],[Units]]</f>
        <v>174.69</v>
      </c>
    </row>
    <row r="276" spans="3:9" x14ac:dyDescent="0.3">
      <c r="C276" t="s">
        <v>9</v>
      </c>
      <c r="D276" t="s">
        <v>34</v>
      </c>
      <c r="E276" t="s">
        <v>21</v>
      </c>
      <c r="F276" s="4">
        <v>6832</v>
      </c>
      <c r="G276" s="5">
        <v>27</v>
      </c>
      <c r="H276">
        <f>_xlfn.XLOOKUP(data1[[#This Row],[Product]],products[Product],products[Cost per unit])</f>
        <v>9</v>
      </c>
      <c r="I276">
        <f>data1[[#This Row],[Cost per unit]]*data1[[#This Row],[Units]]</f>
        <v>243</v>
      </c>
    </row>
    <row r="277" spans="3:9" x14ac:dyDescent="0.3">
      <c r="C277" t="s">
        <v>6</v>
      </c>
      <c r="D277" t="s">
        <v>39</v>
      </c>
      <c r="E277" t="s">
        <v>17</v>
      </c>
      <c r="F277" s="4">
        <v>6048</v>
      </c>
      <c r="G277" s="5">
        <v>27</v>
      </c>
      <c r="H277">
        <f>_xlfn.XLOOKUP(data1[[#This Row],[Product]],products[Product],products[Cost per unit])</f>
        <v>3.11</v>
      </c>
      <c r="I277">
        <f>data1[[#This Row],[Cost per unit]]*data1[[#This Row],[Units]]</f>
        <v>83.97</v>
      </c>
    </row>
    <row r="278" spans="3:9" x14ac:dyDescent="0.3">
      <c r="C278" t="s">
        <v>10</v>
      </c>
      <c r="D278" t="s">
        <v>37</v>
      </c>
      <c r="E278" t="s">
        <v>28</v>
      </c>
      <c r="F278" s="4">
        <v>3059</v>
      </c>
      <c r="G278" s="5">
        <v>27</v>
      </c>
      <c r="H278">
        <f>_xlfn.XLOOKUP(data1[[#This Row],[Product]],products[Product],products[Cost per unit])</f>
        <v>10.38</v>
      </c>
      <c r="I278">
        <f>data1[[#This Row],[Cost per unit]]*data1[[#This Row],[Units]]</f>
        <v>280.26000000000005</v>
      </c>
    </row>
    <row r="279" spans="3:9" x14ac:dyDescent="0.3">
      <c r="C279" t="s">
        <v>7</v>
      </c>
      <c r="D279" t="s">
        <v>35</v>
      </c>
      <c r="E279" t="s">
        <v>16</v>
      </c>
      <c r="F279" s="4">
        <v>2135</v>
      </c>
      <c r="G279" s="5">
        <v>27</v>
      </c>
      <c r="H279">
        <f>_xlfn.XLOOKUP(data1[[#This Row],[Product]],products[Product],products[Cost per unit])</f>
        <v>8.7899999999999991</v>
      </c>
      <c r="I279">
        <f>data1[[#This Row],[Cost per unit]]*data1[[#This Row],[Units]]</f>
        <v>237.32999999999998</v>
      </c>
    </row>
    <row r="280" spans="3:9" x14ac:dyDescent="0.3">
      <c r="C280" t="s">
        <v>8</v>
      </c>
      <c r="D280" t="s">
        <v>39</v>
      </c>
      <c r="E280" t="s">
        <v>26</v>
      </c>
      <c r="F280" s="4">
        <v>1561</v>
      </c>
      <c r="G280" s="5">
        <v>27</v>
      </c>
      <c r="H280">
        <f>_xlfn.XLOOKUP(data1[[#This Row],[Product]],products[Product],products[Cost per unit])</f>
        <v>5.6</v>
      </c>
      <c r="I280">
        <f>data1[[#This Row],[Cost per unit]]*data1[[#This Row],[Units]]</f>
        <v>151.19999999999999</v>
      </c>
    </row>
    <row r="281" spans="3:9" x14ac:dyDescent="0.3">
      <c r="C281" t="s">
        <v>10</v>
      </c>
      <c r="D281" t="s">
        <v>34</v>
      </c>
      <c r="E281" t="s">
        <v>22</v>
      </c>
      <c r="F281" s="4">
        <v>4053</v>
      </c>
      <c r="G281" s="5">
        <v>24</v>
      </c>
      <c r="H281">
        <f>_xlfn.XLOOKUP(data1[[#This Row],[Product]],products[Product],products[Cost per unit])</f>
        <v>9.77</v>
      </c>
      <c r="I281">
        <f>data1[[#This Row],[Cost per unit]]*data1[[#This Row],[Units]]</f>
        <v>234.48</v>
      </c>
    </row>
    <row r="282" spans="3:9" x14ac:dyDescent="0.3">
      <c r="C282" t="s">
        <v>7</v>
      </c>
      <c r="D282" t="s">
        <v>34</v>
      </c>
      <c r="E282" t="s">
        <v>15</v>
      </c>
      <c r="F282" s="4">
        <v>3829</v>
      </c>
      <c r="G282" s="5">
        <v>24</v>
      </c>
      <c r="H282">
        <f>_xlfn.XLOOKUP(data1[[#This Row],[Product]],products[Product],products[Cost per unit])</f>
        <v>11.73</v>
      </c>
      <c r="I282">
        <f>data1[[#This Row],[Cost per unit]]*data1[[#This Row],[Units]]</f>
        <v>281.52</v>
      </c>
    </row>
    <row r="283" spans="3:9" x14ac:dyDescent="0.3">
      <c r="C283" t="s">
        <v>2</v>
      </c>
      <c r="D283" t="s">
        <v>36</v>
      </c>
      <c r="E283" t="s">
        <v>16</v>
      </c>
      <c r="F283" s="4">
        <v>11417</v>
      </c>
      <c r="G283" s="5">
        <v>21</v>
      </c>
      <c r="H283">
        <f>_xlfn.XLOOKUP(data1[[#This Row],[Product]],products[Product],products[Cost per unit])</f>
        <v>8.7899999999999991</v>
      </c>
      <c r="I283">
        <f>data1[[#This Row],[Cost per unit]]*data1[[#This Row],[Units]]</f>
        <v>184.58999999999997</v>
      </c>
    </row>
    <row r="284" spans="3:9" x14ac:dyDescent="0.3">
      <c r="C284" t="s">
        <v>5</v>
      </c>
      <c r="D284" t="s">
        <v>37</v>
      </c>
      <c r="E284" t="s">
        <v>25</v>
      </c>
      <c r="F284" s="4">
        <v>8813</v>
      </c>
      <c r="G284" s="5">
        <v>21</v>
      </c>
      <c r="H284">
        <f>_xlfn.XLOOKUP(data1[[#This Row],[Product]],products[Product],products[Cost per unit])</f>
        <v>13.15</v>
      </c>
      <c r="I284">
        <f>data1[[#This Row],[Cost per unit]]*data1[[#This Row],[Units]]</f>
        <v>276.15000000000003</v>
      </c>
    </row>
    <row r="285" spans="3:9" x14ac:dyDescent="0.3">
      <c r="C285" t="s">
        <v>40</v>
      </c>
      <c r="D285" t="s">
        <v>37</v>
      </c>
      <c r="E285" t="s">
        <v>19</v>
      </c>
      <c r="F285" s="4">
        <v>7693</v>
      </c>
      <c r="G285" s="5">
        <v>21</v>
      </c>
      <c r="H285">
        <f>_xlfn.XLOOKUP(data1[[#This Row],[Product]],products[Product],products[Cost per unit])</f>
        <v>7.64</v>
      </c>
      <c r="I285">
        <f>data1[[#This Row],[Cost per unit]]*data1[[#This Row],[Units]]</f>
        <v>160.44</v>
      </c>
    </row>
    <row r="286" spans="3:9" x14ac:dyDescent="0.3">
      <c r="C286" t="s">
        <v>5</v>
      </c>
      <c r="D286" t="s">
        <v>34</v>
      </c>
      <c r="E286" t="s">
        <v>27</v>
      </c>
      <c r="F286" s="4">
        <v>6986</v>
      </c>
      <c r="G286" s="5">
        <v>21</v>
      </c>
      <c r="H286">
        <f>_xlfn.XLOOKUP(data1[[#This Row],[Product]],products[Product],products[Cost per unit])</f>
        <v>16.73</v>
      </c>
      <c r="I286">
        <f>data1[[#This Row],[Cost per unit]]*data1[[#This Row],[Units]]</f>
        <v>351.33</v>
      </c>
    </row>
    <row r="287" spans="3:9" x14ac:dyDescent="0.3">
      <c r="C287" t="s">
        <v>5</v>
      </c>
      <c r="D287" t="s">
        <v>38</v>
      </c>
      <c r="E287" t="s">
        <v>32</v>
      </c>
      <c r="F287" s="4">
        <v>5075</v>
      </c>
      <c r="G287" s="5">
        <v>21</v>
      </c>
      <c r="H287">
        <f>_xlfn.XLOOKUP(data1[[#This Row],[Product]],products[Product],products[Cost per unit])</f>
        <v>8.65</v>
      </c>
      <c r="I287">
        <f>data1[[#This Row],[Cost per unit]]*data1[[#This Row],[Units]]</f>
        <v>181.65</v>
      </c>
    </row>
    <row r="288" spans="3:9" x14ac:dyDescent="0.3">
      <c r="C288" t="s">
        <v>7</v>
      </c>
      <c r="D288" t="s">
        <v>35</v>
      </c>
      <c r="E288" t="s">
        <v>27</v>
      </c>
      <c r="F288" s="4">
        <v>2478</v>
      </c>
      <c r="G288" s="5">
        <v>21</v>
      </c>
      <c r="H288">
        <f>_xlfn.XLOOKUP(data1[[#This Row],[Product]],products[Product],products[Cost per unit])</f>
        <v>16.73</v>
      </c>
      <c r="I288">
        <f>data1[[#This Row],[Cost per unit]]*data1[[#This Row],[Units]]</f>
        <v>351.33</v>
      </c>
    </row>
    <row r="289" spans="3:9" x14ac:dyDescent="0.3">
      <c r="C289" t="s">
        <v>41</v>
      </c>
      <c r="D289" t="s">
        <v>38</v>
      </c>
      <c r="E289" t="s">
        <v>25</v>
      </c>
      <c r="F289" s="4">
        <v>154</v>
      </c>
      <c r="G289" s="5">
        <v>21</v>
      </c>
      <c r="H289">
        <f>_xlfn.XLOOKUP(data1[[#This Row],[Product]],products[Product],products[Cost per unit])</f>
        <v>13.15</v>
      </c>
      <c r="I289">
        <f>data1[[#This Row],[Cost per unit]]*data1[[#This Row],[Units]]</f>
        <v>276.15000000000003</v>
      </c>
    </row>
    <row r="290" spans="3:9" x14ac:dyDescent="0.3">
      <c r="C290" t="s">
        <v>3</v>
      </c>
      <c r="D290" t="s">
        <v>34</v>
      </c>
      <c r="E290" t="s">
        <v>20</v>
      </c>
      <c r="F290" s="4">
        <v>2583</v>
      </c>
      <c r="G290" s="5">
        <v>18</v>
      </c>
      <c r="H290">
        <f>_xlfn.XLOOKUP(data1[[#This Row],[Product]],products[Product],products[Cost per unit])</f>
        <v>10.62</v>
      </c>
      <c r="I290">
        <f>data1[[#This Row],[Cost per unit]]*data1[[#This Row],[Units]]</f>
        <v>191.16</v>
      </c>
    </row>
    <row r="291" spans="3:9" x14ac:dyDescent="0.3">
      <c r="C291" t="s">
        <v>3</v>
      </c>
      <c r="D291" t="s">
        <v>36</v>
      </c>
      <c r="E291" t="s">
        <v>19</v>
      </c>
      <c r="F291" s="4">
        <v>1281</v>
      </c>
      <c r="G291" s="5">
        <v>18</v>
      </c>
      <c r="H291">
        <f>_xlfn.XLOOKUP(data1[[#This Row],[Product]],products[Product],products[Cost per unit])</f>
        <v>7.64</v>
      </c>
      <c r="I291">
        <f>data1[[#This Row],[Cost per unit]]*data1[[#This Row],[Units]]</f>
        <v>137.51999999999998</v>
      </c>
    </row>
    <row r="292" spans="3:9" x14ac:dyDescent="0.3">
      <c r="C292" t="s">
        <v>2</v>
      </c>
      <c r="D292" t="s">
        <v>37</v>
      </c>
      <c r="E292" t="s">
        <v>19</v>
      </c>
      <c r="F292" s="4">
        <v>238</v>
      </c>
      <c r="G292" s="5">
        <v>18</v>
      </c>
      <c r="H292">
        <f>_xlfn.XLOOKUP(data1[[#This Row],[Product]],products[Product],products[Cost per unit])</f>
        <v>7.64</v>
      </c>
      <c r="I292">
        <f>data1[[#This Row],[Cost per unit]]*data1[[#This Row],[Units]]</f>
        <v>137.51999999999998</v>
      </c>
    </row>
    <row r="293" spans="3:9" x14ac:dyDescent="0.3">
      <c r="C293" t="s">
        <v>5</v>
      </c>
      <c r="D293" t="s">
        <v>36</v>
      </c>
      <c r="E293" t="s">
        <v>23</v>
      </c>
      <c r="F293" s="4">
        <v>6314</v>
      </c>
      <c r="G293" s="5">
        <v>15</v>
      </c>
      <c r="H293">
        <f>_xlfn.XLOOKUP(data1[[#This Row],[Product]],products[Product],products[Cost per unit])</f>
        <v>6.49</v>
      </c>
      <c r="I293">
        <f>data1[[#This Row],[Cost per unit]]*data1[[#This Row],[Units]]</f>
        <v>97.350000000000009</v>
      </c>
    </row>
    <row r="294" spans="3:9" x14ac:dyDescent="0.3">
      <c r="C294" t="s">
        <v>5</v>
      </c>
      <c r="D294" t="s">
        <v>35</v>
      </c>
      <c r="E294" t="s">
        <v>18</v>
      </c>
      <c r="F294" s="4">
        <v>2415</v>
      </c>
      <c r="G294" s="5">
        <v>15</v>
      </c>
      <c r="H294">
        <f>_xlfn.XLOOKUP(data1[[#This Row],[Product]],products[Product],products[Cost per unit])</f>
        <v>6.47</v>
      </c>
      <c r="I294">
        <f>data1[[#This Row],[Cost per unit]]*data1[[#This Row],[Units]]</f>
        <v>97.05</v>
      </c>
    </row>
    <row r="295" spans="3:9" x14ac:dyDescent="0.3">
      <c r="C295" t="s">
        <v>6</v>
      </c>
      <c r="D295" t="s">
        <v>34</v>
      </c>
      <c r="E295" t="s">
        <v>15</v>
      </c>
      <c r="F295" s="4">
        <v>1442</v>
      </c>
      <c r="G295" s="5">
        <v>15</v>
      </c>
      <c r="H295">
        <f>_xlfn.XLOOKUP(data1[[#This Row],[Product]],products[Product],products[Cost per unit])</f>
        <v>11.73</v>
      </c>
      <c r="I295">
        <f>data1[[#This Row],[Cost per unit]]*data1[[#This Row],[Units]]</f>
        <v>175.95000000000002</v>
      </c>
    </row>
    <row r="296" spans="3:9" x14ac:dyDescent="0.3">
      <c r="C296" t="s">
        <v>2</v>
      </c>
      <c r="D296" t="s">
        <v>35</v>
      </c>
      <c r="E296" t="s">
        <v>19</v>
      </c>
      <c r="F296" s="4">
        <v>553</v>
      </c>
      <c r="G296" s="5">
        <v>15</v>
      </c>
      <c r="H296">
        <f>_xlfn.XLOOKUP(data1[[#This Row],[Product]],products[Product],products[Cost per unit])</f>
        <v>7.64</v>
      </c>
      <c r="I296">
        <f>data1[[#This Row],[Cost per unit]]*data1[[#This Row],[Units]]</f>
        <v>114.6</v>
      </c>
    </row>
    <row r="297" spans="3:9" x14ac:dyDescent="0.3">
      <c r="C297" t="s">
        <v>40</v>
      </c>
      <c r="D297" t="s">
        <v>39</v>
      </c>
      <c r="E297" t="s">
        <v>22</v>
      </c>
      <c r="F297" s="4">
        <v>5817</v>
      </c>
      <c r="G297" s="5">
        <v>12</v>
      </c>
      <c r="H297">
        <f>_xlfn.XLOOKUP(data1[[#This Row],[Product]],products[Product],products[Cost per unit])</f>
        <v>9.77</v>
      </c>
      <c r="I297">
        <f>data1[[#This Row],[Cost per unit]]*data1[[#This Row],[Units]]</f>
        <v>117.24</v>
      </c>
    </row>
    <row r="298" spans="3:9" x14ac:dyDescent="0.3">
      <c r="C298" t="s">
        <v>5</v>
      </c>
      <c r="D298" t="s">
        <v>37</v>
      </c>
      <c r="E298" t="s">
        <v>14</v>
      </c>
      <c r="F298" s="4">
        <v>4991</v>
      </c>
      <c r="G298" s="5">
        <v>12</v>
      </c>
      <c r="H298">
        <f>_xlfn.XLOOKUP(data1[[#This Row],[Product]],products[Product],products[Cost per unit])</f>
        <v>11.7</v>
      </c>
      <c r="I298">
        <f>data1[[#This Row],[Cost per unit]]*data1[[#This Row],[Units]]</f>
        <v>140.39999999999998</v>
      </c>
    </row>
    <row r="299" spans="3:9" x14ac:dyDescent="0.3">
      <c r="C299" t="s">
        <v>6</v>
      </c>
      <c r="D299" t="s">
        <v>36</v>
      </c>
      <c r="E299" t="s">
        <v>32</v>
      </c>
      <c r="F299" s="4">
        <v>6118</v>
      </c>
      <c r="G299" s="5">
        <v>9</v>
      </c>
      <c r="H299">
        <f>_xlfn.XLOOKUP(data1[[#This Row],[Product]],products[Product],products[Cost per unit])</f>
        <v>8.65</v>
      </c>
      <c r="I299">
        <f>data1[[#This Row],[Cost per unit]]*data1[[#This Row],[Units]]</f>
        <v>77.850000000000009</v>
      </c>
    </row>
    <row r="300" spans="3:9" x14ac:dyDescent="0.3">
      <c r="C300" t="s">
        <v>10</v>
      </c>
      <c r="D300" t="s">
        <v>34</v>
      </c>
      <c r="E300" t="s">
        <v>26</v>
      </c>
      <c r="F300" s="4">
        <v>4991</v>
      </c>
      <c r="G300" s="5">
        <v>9</v>
      </c>
      <c r="H300">
        <f>_xlfn.XLOOKUP(data1[[#This Row],[Product]],products[Product],products[Cost per unit])</f>
        <v>5.6</v>
      </c>
      <c r="I300">
        <f>data1[[#This Row],[Cost per unit]]*data1[[#This Row],[Units]]</f>
        <v>50.4</v>
      </c>
    </row>
    <row r="301" spans="3:9" x14ac:dyDescent="0.3">
      <c r="C301" t="s">
        <v>41</v>
      </c>
      <c r="D301" t="s">
        <v>37</v>
      </c>
      <c r="E301" t="s">
        <v>21</v>
      </c>
      <c r="F301" s="4">
        <v>2933</v>
      </c>
      <c r="G301" s="5">
        <v>9</v>
      </c>
      <c r="H301">
        <f>_xlfn.XLOOKUP(data1[[#This Row],[Product]],products[Product],products[Cost per unit])</f>
        <v>9</v>
      </c>
      <c r="I301">
        <f>data1[[#This Row],[Cost per unit]]*data1[[#This Row],[Units]]</f>
        <v>81</v>
      </c>
    </row>
    <row r="302" spans="3:9" x14ac:dyDescent="0.3">
      <c r="C302" t="s">
        <v>5</v>
      </c>
      <c r="D302" t="s">
        <v>35</v>
      </c>
      <c r="E302" t="s">
        <v>4</v>
      </c>
      <c r="F302" s="4">
        <v>2744</v>
      </c>
      <c r="G302" s="5">
        <v>9</v>
      </c>
      <c r="H302">
        <f>_xlfn.XLOOKUP(data1[[#This Row],[Product]],products[Product],products[Cost per unit])</f>
        <v>11.88</v>
      </c>
      <c r="I302">
        <f>data1[[#This Row],[Cost per unit]]*data1[[#This Row],[Units]]</f>
        <v>106.92</v>
      </c>
    </row>
    <row r="303" spans="3:9" x14ac:dyDescent="0.3">
      <c r="C303" t="s">
        <v>9</v>
      </c>
      <c r="D303" t="s">
        <v>38</v>
      </c>
      <c r="E303" t="s">
        <v>17</v>
      </c>
      <c r="F303" s="4">
        <v>2408</v>
      </c>
      <c r="G303" s="5">
        <v>9</v>
      </c>
      <c r="H303">
        <f>_xlfn.XLOOKUP(data1[[#This Row],[Product]],products[Product],products[Cost per unit])</f>
        <v>3.11</v>
      </c>
      <c r="I303">
        <f>data1[[#This Row],[Cost per unit]]*data1[[#This Row],[Units]]</f>
        <v>27.99</v>
      </c>
    </row>
    <row r="304" spans="3:9" x14ac:dyDescent="0.3">
      <c r="C304" t="s">
        <v>6</v>
      </c>
      <c r="D304" t="s">
        <v>37</v>
      </c>
      <c r="E304" t="s">
        <v>26</v>
      </c>
      <c r="F304" s="4">
        <v>6818</v>
      </c>
      <c r="G304" s="5">
        <v>6</v>
      </c>
      <c r="H304">
        <f>_xlfn.XLOOKUP(data1[[#This Row],[Product]],products[Product],products[Cost per unit])</f>
        <v>5.6</v>
      </c>
      <c r="I304">
        <f>data1[[#This Row],[Cost per unit]]*data1[[#This Row],[Units]]</f>
        <v>33.599999999999994</v>
      </c>
    </row>
    <row r="305" spans="3:9" x14ac:dyDescent="0.3">
      <c r="C305" t="s">
        <v>10</v>
      </c>
      <c r="D305" t="s">
        <v>35</v>
      </c>
      <c r="E305" t="s">
        <v>15</v>
      </c>
      <c r="F305" s="4">
        <v>2562</v>
      </c>
      <c r="G305" s="5">
        <v>6</v>
      </c>
      <c r="H305">
        <f>_xlfn.XLOOKUP(data1[[#This Row],[Product]],products[Product],products[Cost per unit])</f>
        <v>11.73</v>
      </c>
      <c r="I305">
        <f>data1[[#This Row],[Cost per unit]]*data1[[#This Row],[Units]]</f>
        <v>70.38</v>
      </c>
    </row>
    <row r="306" spans="3:9" x14ac:dyDescent="0.3">
      <c r="C306" t="s">
        <v>6</v>
      </c>
      <c r="D306" t="s">
        <v>38</v>
      </c>
      <c r="E306" t="s">
        <v>16</v>
      </c>
      <c r="F306" s="4">
        <v>938</v>
      </c>
      <c r="G306" s="5">
        <v>6</v>
      </c>
      <c r="H306">
        <f>_xlfn.XLOOKUP(data1[[#This Row],[Product]],products[Product],products[Cost per unit])</f>
        <v>8.7899999999999991</v>
      </c>
      <c r="I306">
        <f>data1[[#This Row],[Cost per unit]]*data1[[#This Row],[Units]]</f>
        <v>52.739999999999995</v>
      </c>
    </row>
    <row r="307" spans="3:9" x14ac:dyDescent="0.3">
      <c r="C307" t="s">
        <v>5</v>
      </c>
      <c r="D307" t="s">
        <v>36</v>
      </c>
      <c r="E307" t="s">
        <v>18</v>
      </c>
      <c r="F307" s="4">
        <v>6111</v>
      </c>
      <c r="G307" s="5">
        <v>3</v>
      </c>
      <c r="H307">
        <f>_xlfn.XLOOKUP(data1[[#This Row],[Product]],products[Product],products[Cost per unit])</f>
        <v>6.47</v>
      </c>
      <c r="I307">
        <f>data1[[#This Row],[Cost per unit]]*data1[[#This Row],[Units]]</f>
        <v>19.41</v>
      </c>
    </row>
    <row r="308" spans="3:9" x14ac:dyDescent="0.3">
      <c r="C308" t="s">
        <v>41</v>
      </c>
      <c r="D308" t="s">
        <v>38</v>
      </c>
      <c r="E308" t="s">
        <v>22</v>
      </c>
      <c r="F308" s="4">
        <v>5915</v>
      </c>
      <c r="G308" s="5">
        <v>3</v>
      </c>
      <c r="H308">
        <f>_xlfn.XLOOKUP(data1[[#This Row],[Product]],products[Product],products[Cost per unit])</f>
        <v>9.77</v>
      </c>
      <c r="I308">
        <f>data1[[#This Row],[Cost per unit]]*data1[[#This Row],[Units]]</f>
        <v>29.31</v>
      </c>
    </row>
    <row r="309" spans="3:9" x14ac:dyDescent="0.3">
      <c r="C309" t="s">
        <v>2</v>
      </c>
      <c r="D309" t="s">
        <v>38</v>
      </c>
      <c r="E309" t="s">
        <v>4</v>
      </c>
      <c r="F309" s="4">
        <v>3549</v>
      </c>
      <c r="G309" s="5">
        <v>3</v>
      </c>
      <c r="H309">
        <f>_xlfn.XLOOKUP(data1[[#This Row],[Product]],products[Product],products[Cost per unit])</f>
        <v>11.88</v>
      </c>
      <c r="I309">
        <f>data1[[#This Row],[Cost per unit]]*data1[[#This Row],[Units]]</f>
        <v>35.64</v>
      </c>
    </row>
    <row r="310" spans="3:9" x14ac:dyDescent="0.3">
      <c r="C310" t="s">
        <v>6</v>
      </c>
      <c r="D310" t="s">
        <v>39</v>
      </c>
      <c r="E310" t="s">
        <v>24</v>
      </c>
      <c r="F310" s="4">
        <v>2989</v>
      </c>
      <c r="G310" s="5">
        <v>3</v>
      </c>
      <c r="H310">
        <f>_xlfn.XLOOKUP(data1[[#This Row],[Product]],products[Product],products[Cost per unit])</f>
        <v>4.97</v>
      </c>
      <c r="I310">
        <f>data1[[#This Row],[Cost per unit]]*data1[[#This Row],[Units]]</f>
        <v>14.91</v>
      </c>
    </row>
    <row r="311" spans="3:9" x14ac:dyDescent="0.3">
      <c r="C311" t="s">
        <v>7</v>
      </c>
      <c r="D311" t="s">
        <v>37</v>
      </c>
      <c r="E311" t="s">
        <v>26</v>
      </c>
      <c r="F311" s="4">
        <v>5306</v>
      </c>
      <c r="G311" s="5">
        <v>0</v>
      </c>
      <c r="H311">
        <f>_xlfn.XLOOKUP(data1[[#This Row],[Product]],products[Product],products[Cost per unit])</f>
        <v>5.6</v>
      </c>
      <c r="I311">
        <f>data1[[#This Row],[Cost per unit]]*data1[[#This Row],[Units]]</f>
        <v>0</v>
      </c>
    </row>
    <row r="312" spans="3:9" x14ac:dyDescent="0.3">
      <c r="F312" s="4"/>
      <c r="G312" s="5"/>
    </row>
    <row r="313" spans="3:9" x14ac:dyDescent="0.3">
      <c r="F313" s="4"/>
    </row>
    <row r="314" spans="3:9" x14ac:dyDescent="0.3">
      <c r="F314" s="4"/>
      <c r="G314" s="5"/>
    </row>
    <row r="315" spans="3:9" x14ac:dyDescent="0.3">
      <c r="F315" s="4"/>
      <c r="G315" s="5"/>
    </row>
    <row r="316" spans="3:9" x14ac:dyDescent="0.3">
      <c r="F316" s="4"/>
      <c r="G316" s="5"/>
    </row>
    <row r="317" spans="3:9" x14ac:dyDescent="0.3">
      <c r="F317" s="4"/>
      <c r="G317" s="5"/>
    </row>
    <row r="318" spans="3:9" x14ac:dyDescent="0.3">
      <c r="F318" s="4"/>
      <c r="G318" s="5"/>
    </row>
    <row r="319" spans="3:9" x14ac:dyDescent="0.3">
      <c r="F319" s="4"/>
      <c r="G319" s="5"/>
    </row>
    <row r="320" spans="3:9" x14ac:dyDescent="0.3">
      <c r="F320" s="4"/>
      <c r="G320" s="5"/>
    </row>
    <row r="321" spans="6:7" x14ac:dyDescent="0.3">
      <c r="F321" s="4"/>
      <c r="G321" s="5"/>
    </row>
    <row r="322" spans="6:7" x14ac:dyDescent="0.3">
      <c r="F322" s="4"/>
      <c r="G322" s="5"/>
    </row>
    <row r="323" spans="6:7" x14ac:dyDescent="0.3">
      <c r="F323" s="4"/>
      <c r="G323" s="5"/>
    </row>
    <row r="324" spans="6:7" x14ac:dyDescent="0.3">
      <c r="F324" s="4"/>
      <c r="G324" s="5"/>
    </row>
    <row r="325" spans="6:7" x14ac:dyDescent="0.3">
      <c r="F325" s="4"/>
      <c r="G325" s="5"/>
    </row>
    <row r="326" spans="6:7" x14ac:dyDescent="0.3">
      <c r="F326" s="4"/>
      <c r="G326" s="5"/>
    </row>
    <row r="327" spans="6:7" x14ac:dyDescent="0.3">
      <c r="F327" s="4"/>
      <c r="G327" s="5"/>
    </row>
    <row r="328" spans="6:7" x14ac:dyDescent="0.3">
      <c r="F328" s="4"/>
      <c r="G328" s="5"/>
    </row>
    <row r="329" spans="6:7" x14ac:dyDescent="0.3">
      <c r="F329" s="4"/>
      <c r="G329" s="5"/>
    </row>
    <row r="330" spans="6:7" x14ac:dyDescent="0.3">
      <c r="F330" s="4"/>
      <c r="G330" s="5"/>
    </row>
    <row r="331" spans="6:7" x14ac:dyDescent="0.3">
      <c r="F331" s="4"/>
      <c r="G331" s="5"/>
    </row>
    <row r="332" spans="6:7" x14ac:dyDescent="0.3">
      <c r="F332" s="4"/>
      <c r="G332" s="5"/>
    </row>
    <row r="333" spans="6:7" x14ac:dyDescent="0.3">
      <c r="F333" s="4"/>
      <c r="G333" s="5"/>
    </row>
    <row r="334" spans="6:7" x14ac:dyDescent="0.3">
      <c r="F334" s="4"/>
      <c r="G334" s="5"/>
    </row>
    <row r="335" spans="6:7" x14ac:dyDescent="0.3">
      <c r="F335" s="4"/>
      <c r="G335" s="5"/>
    </row>
    <row r="336" spans="6:7" x14ac:dyDescent="0.3">
      <c r="F336" s="4"/>
      <c r="G336" s="5"/>
    </row>
    <row r="337" spans="6:7" x14ac:dyDescent="0.3">
      <c r="F337" s="4"/>
      <c r="G337" s="5"/>
    </row>
    <row r="338" spans="6:7" x14ac:dyDescent="0.3">
      <c r="F338" s="4"/>
      <c r="G338" s="5"/>
    </row>
    <row r="339" spans="6:7" x14ac:dyDescent="0.3">
      <c r="F339" s="4"/>
      <c r="G339" s="5"/>
    </row>
    <row r="340" spans="6:7" x14ac:dyDescent="0.3">
      <c r="F340" s="4"/>
      <c r="G340" s="5"/>
    </row>
    <row r="341" spans="6:7" x14ac:dyDescent="0.3">
      <c r="F341" s="4"/>
      <c r="G341" s="5"/>
    </row>
    <row r="342" spans="6:7" x14ac:dyDescent="0.3">
      <c r="F342" s="4"/>
      <c r="G342" s="5"/>
    </row>
    <row r="343" spans="6:7" x14ac:dyDescent="0.3">
      <c r="F343" s="4"/>
      <c r="G343" s="5"/>
    </row>
    <row r="344" spans="6:7" x14ac:dyDescent="0.3">
      <c r="F344" s="4"/>
      <c r="G344" s="5"/>
    </row>
    <row r="345" spans="6:7" x14ac:dyDescent="0.3">
      <c r="F345" s="4"/>
      <c r="G345" s="5"/>
    </row>
    <row r="346" spans="6:7" x14ac:dyDescent="0.3">
      <c r="F346" s="4"/>
      <c r="G346" s="5"/>
    </row>
    <row r="347" spans="6:7" x14ac:dyDescent="0.3">
      <c r="F347" s="4"/>
      <c r="G347" s="5"/>
    </row>
    <row r="348" spans="6:7" x14ac:dyDescent="0.3">
      <c r="F348" s="4"/>
      <c r="G348" s="5"/>
    </row>
    <row r="349" spans="6:7" x14ac:dyDescent="0.3">
      <c r="F349" s="4"/>
      <c r="G349" s="5"/>
    </row>
    <row r="350" spans="6:7" x14ac:dyDescent="0.3">
      <c r="F350" s="4"/>
      <c r="G350" s="5"/>
    </row>
    <row r="351" spans="6:7" x14ac:dyDescent="0.3">
      <c r="F351" s="4"/>
      <c r="G351" s="5"/>
    </row>
    <row r="352" spans="6:7" x14ac:dyDescent="0.3">
      <c r="F352" s="4"/>
      <c r="G352" s="5"/>
    </row>
    <row r="353" spans="6:7" x14ac:dyDescent="0.3">
      <c r="F353" s="4"/>
      <c r="G353" s="5"/>
    </row>
    <row r="354" spans="6:7" x14ac:dyDescent="0.3">
      <c r="F354" s="4"/>
      <c r="G354" s="5"/>
    </row>
    <row r="355" spans="6:7" x14ac:dyDescent="0.3">
      <c r="F355" s="4"/>
      <c r="G355" s="5"/>
    </row>
    <row r="356" spans="6:7" x14ac:dyDescent="0.3">
      <c r="F356" s="4"/>
      <c r="G356" s="5"/>
    </row>
    <row r="357" spans="6:7" x14ac:dyDescent="0.3">
      <c r="F357" s="4"/>
      <c r="G357" s="5"/>
    </row>
    <row r="358" spans="6:7" x14ac:dyDescent="0.3">
      <c r="F358" s="4"/>
      <c r="G358" s="5"/>
    </row>
    <row r="359" spans="6:7" x14ac:dyDescent="0.3">
      <c r="F359" s="4"/>
      <c r="G359" s="5"/>
    </row>
    <row r="360" spans="6:7" x14ac:dyDescent="0.3">
      <c r="F360" s="4"/>
      <c r="G360" s="5"/>
    </row>
    <row r="361" spans="6:7" x14ac:dyDescent="0.3">
      <c r="F361" s="4"/>
      <c r="G361" s="5"/>
    </row>
    <row r="362" spans="6:7" x14ac:dyDescent="0.3">
      <c r="F362" s="4"/>
      <c r="G362" s="5"/>
    </row>
    <row r="363" spans="6:7" x14ac:dyDescent="0.3">
      <c r="F363" s="4"/>
      <c r="G363" s="5"/>
    </row>
    <row r="364" spans="6:7" x14ac:dyDescent="0.3">
      <c r="F364" s="4"/>
      <c r="G364" s="5"/>
    </row>
    <row r="365" spans="6:7" x14ac:dyDescent="0.3">
      <c r="F365" s="4"/>
      <c r="G365" s="5"/>
    </row>
    <row r="366" spans="6:7" x14ac:dyDescent="0.3">
      <c r="F366" s="4"/>
      <c r="G366" s="5"/>
    </row>
    <row r="367" spans="6:7" x14ac:dyDescent="0.3">
      <c r="F367" s="4"/>
      <c r="G367" s="5"/>
    </row>
    <row r="368" spans="6:7" x14ac:dyDescent="0.3">
      <c r="F368" s="4"/>
      <c r="G368" s="5"/>
    </row>
    <row r="369" spans="6:7" x14ac:dyDescent="0.3">
      <c r="F369" s="4"/>
      <c r="G369" s="5"/>
    </row>
    <row r="370" spans="6:7" x14ac:dyDescent="0.3">
      <c r="F370" s="4"/>
      <c r="G370" s="5"/>
    </row>
    <row r="371" spans="6:7" x14ac:dyDescent="0.3">
      <c r="F371" s="4"/>
      <c r="G371" s="5"/>
    </row>
    <row r="372" spans="6:7" x14ac:dyDescent="0.3">
      <c r="F372" s="4"/>
      <c r="G372" s="5"/>
    </row>
    <row r="373" spans="6:7" x14ac:dyDescent="0.3">
      <c r="F373" s="4"/>
      <c r="G373" s="5"/>
    </row>
    <row r="374" spans="6:7" x14ac:dyDescent="0.3">
      <c r="F374" s="4"/>
      <c r="G374" s="5"/>
    </row>
    <row r="375" spans="6:7" x14ac:dyDescent="0.3">
      <c r="F375" s="4"/>
      <c r="G375" s="5"/>
    </row>
    <row r="376" spans="6:7" x14ac:dyDescent="0.3">
      <c r="F376" s="4"/>
      <c r="G376" s="5"/>
    </row>
    <row r="377" spans="6:7" x14ac:dyDescent="0.3">
      <c r="F377" s="4"/>
      <c r="G377" s="5"/>
    </row>
    <row r="378" spans="6:7" x14ac:dyDescent="0.3">
      <c r="F378" s="4"/>
      <c r="G378" s="5"/>
    </row>
    <row r="379" spans="6:7" x14ac:dyDescent="0.3">
      <c r="F379" s="4"/>
      <c r="G379" s="5"/>
    </row>
    <row r="380" spans="6:7" x14ac:dyDescent="0.3">
      <c r="F380" s="4"/>
      <c r="G380" s="5"/>
    </row>
    <row r="381" spans="6:7" x14ac:dyDescent="0.3">
      <c r="F381" s="4"/>
      <c r="G381" s="5"/>
    </row>
    <row r="382" spans="6:7" x14ac:dyDescent="0.3">
      <c r="F382" s="4"/>
      <c r="G382" s="5"/>
    </row>
    <row r="383" spans="6:7" x14ac:dyDescent="0.3">
      <c r="F383" s="4"/>
      <c r="G383" s="5"/>
    </row>
    <row r="384" spans="6:7" x14ac:dyDescent="0.3">
      <c r="F384" s="4"/>
      <c r="G384" s="5"/>
    </row>
    <row r="385" spans="6:7" x14ac:dyDescent="0.3">
      <c r="F385" s="4"/>
      <c r="G385" s="5"/>
    </row>
    <row r="386" spans="6:7" x14ac:dyDescent="0.3">
      <c r="F386" s="4"/>
      <c r="G386" s="5"/>
    </row>
    <row r="387" spans="6:7" x14ac:dyDescent="0.3">
      <c r="F387" s="4"/>
      <c r="G387" s="5"/>
    </row>
    <row r="388" spans="6:7" x14ac:dyDescent="0.3">
      <c r="F388" s="4"/>
      <c r="G388" s="5"/>
    </row>
    <row r="389" spans="6:7" x14ac:dyDescent="0.3">
      <c r="F389" s="4"/>
      <c r="G389" s="5"/>
    </row>
    <row r="390" spans="6:7" x14ac:dyDescent="0.3">
      <c r="F390" s="4"/>
      <c r="G390" s="5"/>
    </row>
    <row r="391" spans="6:7" x14ac:dyDescent="0.3">
      <c r="F391" s="4"/>
      <c r="G391" s="5"/>
    </row>
    <row r="392" spans="6:7" x14ac:dyDescent="0.3">
      <c r="F392" s="4"/>
      <c r="G392" s="5"/>
    </row>
    <row r="393" spans="6:7" x14ac:dyDescent="0.3">
      <c r="F393" s="4"/>
      <c r="G393" s="5"/>
    </row>
    <row r="394" spans="6:7" x14ac:dyDescent="0.3">
      <c r="F394" s="4"/>
      <c r="G394" s="5"/>
    </row>
    <row r="395" spans="6:7" x14ac:dyDescent="0.3">
      <c r="F395" s="4"/>
      <c r="G395" s="5"/>
    </row>
    <row r="396" spans="6:7" x14ac:dyDescent="0.3">
      <c r="F396" s="4"/>
      <c r="G396" s="5"/>
    </row>
    <row r="397" spans="6:7" x14ac:dyDescent="0.3">
      <c r="F397" s="4"/>
      <c r="G397" s="5"/>
    </row>
    <row r="398" spans="6:7" x14ac:dyDescent="0.3">
      <c r="F398" s="4"/>
      <c r="G398" s="5"/>
    </row>
    <row r="399" spans="6:7" x14ac:dyDescent="0.3">
      <c r="F399" s="4"/>
      <c r="G399" s="5"/>
    </row>
    <row r="400" spans="6:7" x14ac:dyDescent="0.3">
      <c r="F400" s="4"/>
      <c r="G400" s="5"/>
    </row>
    <row r="401" spans="6:7" x14ac:dyDescent="0.3">
      <c r="F401" s="4"/>
      <c r="G401" s="5"/>
    </row>
    <row r="402" spans="6:7" x14ac:dyDescent="0.3">
      <c r="F402" s="4"/>
      <c r="G402" s="5"/>
    </row>
    <row r="403" spans="6:7" x14ac:dyDescent="0.3">
      <c r="F403" s="4"/>
      <c r="G403" s="5"/>
    </row>
    <row r="404" spans="6:7" x14ac:dyDescent="0.3">
      <c r="F404" s="4"/>
      <c r="G404" s="5"/>
    </row>
    <row r="405" spans="6:7" x14ac:dyDescent="0.3">
      <c r="F405" s="4"/>
      <c r="G405" s="5"/>
    </row>
    <row r="406" spans="6:7" x14ac:dyDescent="0.3">
      <c r="F406" s="4"/>
      <c r="G406" s="5"/>
    </row>
    <row r="407" spans="6:7" x14ac:dyDescent="0.3">
      <c r="F407" s="4"/>
      <c r="G407" s="5"/>
    </row>
    <row r="408" spans="6:7" x14ac:dyDescent="0.3">
      <c r="F408" s="4"/>
      <c r="G408" s="5"/>
    </row>
    <row r="409" spans="6:7" x14ac:dyDescent="0.3">
      <c r="F409" s="4"/>
      <c r="G409" s="5"/>
    </row>
    <row r="410" spans="6:7" x14ac:dyDescent="0.3">
      <c r="F410" s="4"/>
      <c r="G410" s="5"/>
    </row>
    <row r="411" spans="6:7" x14ac:dyDescent="0.3">
      <c r="F411" s="4"/>
      <c r="G411" s="5"/>
    </row>
    <row r="412" spans="6:7" x14ac:dyDescent="0.3">
      <c r="F412" s="4"/>
      <c r="G412" s="5"/>
    </row>
    <row r="413" spans="6:7" x14ac:dyDescent="0.3">
      <c r="F413" s="4"/>
      <c r="G413" s="5"/>
    </row>
    <row r="414" spans="6:7" x14ac:dyDescent="0.3">
      <c r="F414" s="4"/>
      <c r="G414" s="5"/>
    </row>
    <row r="415" spans="6:7" x14ac:dyDescent="0.3">
      <c r="F415" s="4"/>
      <c r="G415" s="5"/>
    </row>
    <row r="416" spans="6:7" x14ac:dyDescent="0.3">
      <c r="F416" s="4"/>
      <c r="G416" s="5"/>
    </row>
    <row r="417" spans="6:7" x14ac:dyDescent="0.3">
      <c r="F417" s="4"/>
      <c r="G417" s="5"/>
    </row>
    <row r="418" spans="6:7" x14ac:dyDescent="0.3">
      <c r="F418" s="4"/>
      <c r="G418" s="5"/>
    </row>
    <row r="419" spans="6:7" x14ac:dyDescent="0.3">
      <c r="F419" s="4"/>
      <c r="G419" s="5"/>
    </row>
    <row r="420" spans="6:7" x14ac:dyDescent="0.3">
      <c r="F420" s="4"/>
      <c r="G420" s="5"/>
    </row>
    <row r="421" spans="6:7" x14ac:dyDescent="0.3">
      <c r="F421" s="4"/>
      <c r="G421" s="5"/>
    </row>
    <row r="422" spans="6:7" x14ac:dyDescent="0.3">
      <c r="F422" s="4"/>
      <c r="G422" s="5"/>
    </row>
    <row r="423" spans="6:7" x14ac:dyDescent="0.3">
      <c r="F423" s="4"/>
      <c r="G423" s="5"/>
    </row>
    <row r="424" spans="6:7" x14ac:dyDescent="0.3">
      <c r="F424" s="4"/>
      <c r="G424" s="5"/>
    </row>
    <row r="425" spans="6:7" x14ac:dyDescent="0.3">
      <c r="F425" s="4"/>
      <c r="G425" s="5"/>
    </row>
    <row r="426" spans="6:7" x14ac:dyDescent="0.3">
      <c r="F426" s="4"/>
      <c r="G426" s="5"/>
    </row>
    <row r="427" spans="6:7" x14ac:dyDescent="0.3">
      <c r="F427" s="4"/>
      <c r="G427" s="5"/>
    </row>
    <row r="428" spans="6:7" x14ac:dyDescent="0.3">
      <c r="F428" s="4"/>
      <c r="G428" s="5"/>
    </row>
    <row r="429" spans="6:7" x14ac:dyDescent="0.3">
      <c r="F429" s="4"/>
      <c r="G429" s="5"/>
    </row>
    <row r="430" spans="6:7" x14ac:dyDescent="0.3">
      <c r="F430" s="4"/>
      <c r="G430" s="5"/>
    </row>
    <row r="431" spans="6:7" x14ac:dyDescent="0.3">
      <c r="F431" s="4"/>
      <c r="G431" s="5"/>
    </row>
    <row r="432" spans="6:7" x14ac:dyDescent="0.3">
      <c r="F432" s="4"/>
      <c r="G432" s="5"/>
    </row>
    <row r="433" spans="6:7" x14ac:dyDescent="0.3">
      <c r="F433" s="4"/>
      <c r="G433" s="5"/>
    </row>
    <row r="434" spans="6:7" x14ac:dyDescent="0.3">
      <c r="F434" s="4"/>
      <c r="G434" s="5"/>
    </row>
    <row r="435" spans="6:7" x14ac:dyDescent="0.3">
      <c r="F435" s="4"/>
      <c r="G435" s="5"/>
    </row>
    <row r="436" spans="6:7" x14ac:dyDescent="0.3">
      <c r="F436" s="4"/>
      <c r="G436" s="5"/>
    </row>
    <row r="437" spans="6:7" x14ac:dyDescent="0.3">
      <c r="F437" s="4"/>
      <c r="G437" s="5"/>
    </row>
    <row r="438" spans="6:7" x14ac:dyDescent="0.3">
      <c r="F438" s="4"/>
      <c r="G438" s="5"/>
    </row>
    <row r="439" spans="6:7" x14ac:dyDescent="0.3">
      <c r="F439" s="4"/>
      <c r="G439" s="5"/>
    </row>
    <row r="440" spans="6:7" x14ac:dyDescent="0.3">
      <c r="F440" s="4"/>
      <c r="G440" s="5"/>
    </row>
    <row r="441" spans="6:7" x14ac:dyDescent="0.3">
      <c r="F441" s="4"/>
      <c r="G441" s="5"/>
    </row>
    <row r="442" spans="6:7" x14ac:dyDescent="0.3">
      <c r="F442" s="4"/>
      <c r="G442" s="5"/>
    </row>
    <row r="443" spans="6:7" x14ac:dyDescent="0.3">
      <c r="F443" s="4"/>
      <c r="G443" s="5"/>
    </row>
    <row r="444" spans="6:7" x14ac:dyDescent="0.3">
      <c r="F444" s="4"/>
      <c r="G444" s="5"/>
    </row>
    <row r="445" spans="6:7" x14ac:dyDescent="0.3">
      <c r="F445" s="4"/>
      <c r="G445" s="5"/>
    </row>
    <row r="446" spans="6:7" x14ac:dyDescent="0.3">
      <c r="F446" s="4"/>
      <c r="G446" s="5"/>
    </row>
    <row r="447" spans="6:7" x14ac:dyDescent="0.3">
      <c r="F447" s="4"/>
      <c r="G447" s="5"/>
    </row>
    <row r="448" spans="6:7" x14ac:dyDescent="0.3">
      <c r="F448" s="4"/>
      <c r="G448" s="5"/>
    </row>
    <row r="449" spans="6:7" x14ac:dyDescent="0.3">
      <c r="F449" s="4"/>
      <c r="G449" s="5"/>
    </row>
    <row r="450" spans="6:7" x14ac:dyDescent="0.3">
      <c r="F450" s="4"/>
      <c r="G450" s="5"/>
    </row>
    <row r="451" spans="6:7" x14ac:dyDescent="0.3">
      <c r="F451" s="4"/>
      <c r="G451" s="5"/>
    </row>
    <row r="452" spans="6:7" x14ac:dyDescent="0.3">
      <c r="F452" s="4"/>
      <c r="G452" s="5"/>
    </row>
    <row r="453" spans="6:7" x14ac:dyDescent="0.3">
      <c r="F453" s="4"/>
      <c r="G453" s="5"/>
    </row>
    <row r="454" spans="6:7" x14ac:dyDescent="0.3">
      <c r="F454" s="4"/>
      <c r="G454" s="5"/>
    </row>
    <row r="455" spans="6:7" x14ac:dyDescent="0.3">
      <c r="F455" s="4"/>
      <c r="G455" s="5"/>
    </row>
    <row r="456" spans="6:7" x14ac:dyDescent="0.3">
      <c r="F456" s="4"/>
      <c r="G456" s="5"/>
    </row>
    <row r="457" spans="6:7" x14ac:dyDescent="0.3">
      <c r="F457" s="4"/>
      <c r="G457" s="5"/>
    </row>
    <row r="458" spans="6:7" x14ac:dyDescent="0.3">
      <c r="F458" s="4"/>
      <c r="G458" s="5"/>
    </row>
    <row r="459" spans="6:7" x14ac:dyDescent="0.3">
      <c r="F459" s="4"/>
      <c r="G459" s="5"/>
    </row>
    <row r="460" spans="6:7" x14ac:dyDescent="0.3">
      <c r="F460" s="4"/>
      <c r="G460" s="5"/>
    </row>
    <row r="461" spans="6:7" x14ac:dyDescent="0.3">
      <c r="F461" s="4"/>
      <c r="G461" s="5"/>
    </row>
    <row r="462" spans="6:7" x14ac:dyDescent="0.3">
      <c r="F462" s="4"/>
      <c r="G462" s="5"/>
    </row>
    <row r="463" spans="6:7" x14ac:dyDescent="0.3">
      <c r="F463" s="4"/>
      <c r="G463" s="5"/>
    </row>
    <row r="464" spans="6:7" x14ac:dyDescent="0.3">
      <c r="F464" s="4"/>
      <c r="G464" s="5"/>
    </row>
    <row r="465" spans="6:7" x14ac:dyDescent="0.3">
      <c r="F465" s="4"/>
      <c r="G465" s="5"/>
    </row>
    <row r="466" spans="6:7" x14ac:dyDescent="0.3">
      <c r="F466" s="4"/>
      <c r="G466" s="5"/>
    </row>
    <row r="467" spans="6:7" x14ac:dyDescent="0.3">
      <c r="F467" s="4"/>
      <c r="G467" s="5"/>
    </row>
    <row r="468" spans="6:7" x14ac:dyDescent="0.3">
      <c r="F468" s="4"/>
      <c r="G468" s="5"/>
    </row>
    <row r="469" spans="6:7" x14ac:dyDescent="0.3">
      <c r="F469" s="4"/>
      <c r="G469" s="5"/>
    </row>
    <row r="470" spans="6:7" x14ac:dyDescent="0.3">
      <c r="F470" s="4"/>
      <c r="G470" s="5"/>
    </row>
    <row r="471" spans="6:7" x14ac:dyDescent="0.3">
      <c r="F471" s="4"/>
      <c r="G471" s="5"/>
    </row>
    <row r="472" spans="6:7" x14ac:dyDescent="0.3">
      <c r="F472" s="4"/>
      <c r="G472" s="5"/>
    </row>
    <row r="473" spans="6:7" x14ac:dyDescent="0.3">
      <c r="F473" s="4"/>
      <c r="G473" s="5"/>
    </row>
    <row r="474" spans="6:7" x14ac:dyDescent="0.3">
      <c r="F474" s="4"/>
      <c r="G474" s="5"/>
    </row>
    <row r="475" spans="6:7" x14ac:dyDescent="0.3">
      <c r="F475" s="4"/>
      <c r="G475" s="5"/>
    </row>
    <row r="476" spans="6:7" x14ac:dyDescent="0.3">
      <c r="F476" s="4"/>
      <c r="G476" s="5"/>
    </row>
    <row r="477" spans="6:7" x14ac:dyDescent="0.3">
      <c r="F477" s="4"/>
      <c r="G477" s="5"/>
    </row>
    <row r="478" spans="6:7" x14ac:dyDescent="0.3">
      <c r="F478" s="4"/>
      <c r="G478" s="5"/>
    </row>
    <row r="479" spans="6:7" x14ac:dyDescent="0.3">
      <c r="F479" s="4"/>
      <c r="G479" s="5"/>
    </row>
    <row r="480" spans="6:7" x14ac:dyDescent="0.3">
      <c r="F480" s="4"/>
      <c r="G480" s="5"/>
    </row>
    <row r="481" spans="6:7" x14ac:dyDescent="0.3">
      <c r="F481" s="4"/>
      <c r="G481" s="5"/>
    </row>
    <row r="482" spans="6:7" x14ac:dyDescent="0.3">
      <c r="F482" s="4"/>
      <c r="G482" s="5"/>
    </row>
    <row r="483" spans="6:7" x14ac:dyDescent="0.3">
      <c r="F483" s="4"/>
      <c r="G483" s="5"/>
    </row>
    <row r="484" spans="6:7" x14ac:dyDescent="0.3">
      <c r="F484" s="4"/>
      <c r="G484" s="5"/>
    </row>
    <row r="485" spans="6:7" x14ac:dyDescent="0.3">
      <c r="F485" s="4"/>
      <c r="G485" s="5"/>
    </row>
    <row r="486" spans="6:7" x14ac:dyDescent="0.3">
      <c r="F486" s="4"/>
      <c r="G486" s="5"/>
    </row>
    <row r="487" spans="6:7" x14ac:dyDescent="0.3">
      <c r="F487" s="4"/>
      <c r="G487" s="5"/>
    </row>
    <row r="488" spans="6:7" x14ac:dyDescent="0.3">
      <c r="F488" s="4"/>
      <c r="G488" s="5"/>
    </row>
    <row r="489" spans="6:7" x14ac:dyDescent="0.3">
      <c r="F489" s="4"/>
      <c r="G489" s="5"/>
    </row>
    <row r="490" spans="6:7" x14ac:dyDescent="0.3">
      <c r="F490" s="4"/>
      <c r="G490" s="5"/>
    </row>
    <row r="491" spans="6:7" x14ac:dyDescent="0.3">
      <c r="F491" s="4"/>
      <c r="G491" s="5"/>
    </row>
    <row r="492" spans="6:7" x14ac:dyDescent="0.3">
      <c r="F492" s="4"/>
      <c r="G492" s="5"/>
    </row>
    <row r="493" spans="6:7" x14ac:dyDescent="0.3">
      <c r="F493" s="4"/>
      <c r="G493" s="5"/>
    </row>
    <row r="494" spans="6:7" x14ac:dyDescent="0.3">
      <c r="F494" s="4"/>
      <c r="G494" s="5"/>
    </row>
    <row r="495" spans="6:7" x14ac:dyDescent="0.3">
      <c r="F495" s="4"/>
      <c r="G495" s="5"/>
    </row>
    <row r="496" spans="6:7" x14ac:dyDescent="0.3">
      <c r="F496" s="4"/>
      <c r="G496" s="5"/>
    </row>
    <row r="497" spans="6:7" x14ac:dyDescent="0.3">
      <c r="F497" s="4"/>
      <c r="G497" s="5"/>
    </row>
    <row r="498" spans="6:7" x14ac:dyDescent="0.3">
      <c r="F498" s="4"/>
      <c r="G498" s="5"/>
    </row>
    <row r="499" spans="6:7" x14ac:dyDescent="0.3">
      <c r="F499" s="4"/>
      <c r="G499" s="5"/>
    </row>
    <row r="500" spans="6:7" x14ac:dyDescent="0.3">
      <c r="F500" s="4"/>
      <c r="G500" s="5"/>
    </row>
    <row r="501" spans="6:7" x14ac:dyDescent="0.3">
      <c r="F501" s="4"/>
      <c r="G501" s="5"/>
    </row>
    <row r="502" spans="6:7" x14ac:dyDescent="0.3">
      <c r="F502" s="4"/>
      <c r="G502" s="5"/>
    </row>
    <row r="503" spans="6:7" x14ac:dyDescent="0.3">
      <c r="F503" s="4"/>
      <c r="G503" s="5"/>
    </row>
    <row r="504" spans="6:7" x14ac:dyDescent="0.3">
      <c r="F504" s="4"/>
      <c r="G504" s="5"/>
    </row>
    <row r="505" spans="6:7" x14ac:dyDescent="0.3">
      <c r="F505" s="4"/>
      <c r="G505" s="5"/>
    </row>
    <row r="506" spans="6:7" x14ac:dyDescent="0.3">
      <c r="F506" s="4"/>
      <c r="G506" s="5"/>
    </row>
    <row r="507" spans="6:7" x14ac:dyDescent="0.3">
      <c r="F507" s="4"/>
      <c r="G507" s="5"/>
    </row>
    <row r="508" spans="6:7" x14ac:dyDescent="0.3">
      <c r="F508" s="4"/>
      <c r="G508" s="5"/>
    </row>
    <row r="509" spans="6:7" x14ac:dyDescent="0.3">
      <c r="F509" s="4"/>
      <c r="G509" s="5"/>
    </row>
    <row r="510" spans="6:7" x14ac:dyDescent="0.3">
      <c r="F510" s="4"/>
      <c r="G510" s="5"/>
    </row>
    <row r="511" spans="6:7" x14ac:dyDescent="0.3">
      <c r="F511" s="4"/>
      <c r="G511" s="5"/>
    </row>
    <row r="512" spans="6:7" x14ac:dyDescent="0.3">
      <c r="F512" s="4"/>
      <c r="G512" s="5"/>
    </row>
    <row r="513" spans="6:7" x14ac:dyDescent="0.3">
      <c r="F513" s="4"/>
      <c r="G513" s="5"/>
    </row>
    <row r="514" spans="6:7" x14ac:dyDescent="0.3">
      <c r="F514" s="4"/>
      <c r="G514" s="5"/>
    </row>
    <row r="515" spans="6:7" x14ac:dyDescent="0.3">
      <c r="F515" s="4"/>
      <c r="G515" s="5"/>
    </row>
    <row r="516" spans="6:7" x14ac:dyDescent="0.3">
      <c r="F516" s="4"/>
      <c r="G516" s="5"/>
    </row>
    <row r="517" spans="6:7" x14ac:dyDescent="0.3">
      <c r="F517" s="4"/>
      <c r="G517" s="5"/>
    </row>
    <row r="518" spans="6:7" x14ac:dyDescent="0.3">
      <c r="F518" s="4"/>
      <c r="G518" s="5"/>
    </row>
    <row r="519" spans="6:7" x14ac:dyDescent="0.3">
      <c r="F519" s="4"/>
      <c r="G519" s="5"/>
    </row>
    <row r="520" spans="6:7" x14ac:dyDescent="0.3">
      <c r="F520" s="4"/>
      <c r="G520" s="5"/>
    </row>
    <row r="521" spans="6:7" x14ac:dyDescent="0.3">
      <c r="F521" s="4"/>
      <c r="G521" s="5"/>
    </row>
    <row r="522" spans="6:7" x14ac:dyDescent="0.3">
      <c r="F522" s="4"/>
      <c r="G522" s="5"/>
    </row>
    <row r="523" spans="6:7" x14ac:dyDescent="0.3">
      <c r="F523" s="4"/>
      <c r="G523" s="5"/>
    </row>
    <row r="524" spans="6:7" x14ac:dyDescent="0.3">
      <c r="F524" s="4"/>
      <c r="G524" s="5"/>
    </row>
    <row r="525" spans="6:7" x14ac:dyDescent="0.3">
      <c r="F525" s="4"/>
      <c r="G525" s="5"/>
    </row>
    <row r="526" spans="6:7" x14ac:dyDescent="0.3">
      <c r="F526" s="4"/>
      <c r="G526" s="5"/>
    </row>
    <row r="527" spans="6:7" x14ac:dyDescent="0.3">
      <c r="F527" s="4"/>
      <c r="G527" s="5"/>
    </row>
    <row r="528" spans="6:7" x14ac:dyDescent="0.3">
      <c r="F528" s="4"/>
      <c r="G528" s="5"/>
    </row>
    <row r="529" spans="6:7" x14ac:dyDescent="0.3">
      <c r="F529" s="4"/>
      <c r="G529" s="5"/>
    </row>
    <row r="530" spans="6:7" x14ac:dyDescent="0.3">
      <c r="F530" s="4"/>
      <c r="G530" s="5"/>
    </row>
    <row r="531" spans="6:7" x14ac:dyDescent="0.3">
      <c r="F531" s="4"/>
      <c r="G531" s="5"/>
    </row>
    <row r="532" spans="6:7" x14ac:dyDescent="0.3">
      <c r="F532" s="4"/>
      <c r="G532" s="5"/>
    </row>
    <row r="533" spans="6:7" x14ac:dyDescent="0.3">
      <c r="F533" s="4"/>
      <c r="G533" s="5"/>
    </row>
    <row r="534" spans="6:7" x14ac:dyDescent="0.3">
      <c r="F534" s="4"/>
      <c r="G534" s="5"/>
    </row>
    <row r="535" spans="6:7" x14ac:dyDescent="0.3">
      <c r="F535" s="4"/>
      <c r="G535" s="5"/>
    </row>
    <row r="536" spans="6:7" x14ac:dyDescent="0.3">
      <c r="F536" s="4"/>
      <c r="G536" s="5"/>
    </row>
    <row r="537" spans="6:7" x14ac:dyDescent="0.3">
      <c r="F537" s="4"/>
      <c r="G537" s="5"/>
    </row>
    <row r="538" spans="6:7" x14ac:dyDescent="0.3">
      <c r="F538" s="4"/>
      <c r="G538" s="5"/>
    </row>
    <row r="539" spans="6:7" x14ac:dyDescent="0.3">
      <c r="F539" s="4"/>
      <c r="G539" s="5"/>
    </row>
    <row r="540" spans="6:7" x14ac:dyDescent="0.3">
      <c r="F540" s="4"/>
      <c r="G540" s="5"/>
    </row>
    <row r="541" spans="6:7" x14ac:dyDescent="0.3">
      <c r="F541" s="4"/>
      <c r="G541" s="5"/>
    </row>
    <row r="542" spans="6:7" x14ac:dyDescent="0.3">
      <c r="F542" s="4"/>
      <c r="G542" s="5"/>
    </row>
    <row r="543" spans="6:7" x14ac:dyDescent="0.3">
      <c r="F543" s="4"/>
      <c r="G543" s="5"/>
    </row>
    <row r="544" spans="6:7" x14ac:dyDescent="0.3">
      <c r="F544" s="4"/>
      <c r="G544" s="5"/>
    </row>
    <row r="545" spans="6:7" x14ac:dyDescent="0.3">
      <c r="F545" s="4"/>
      <c r="G545" s="5"/>
    </row>
    <row r="546" spans="6:7" x14ac:dyDescent="0.3">
      <c r="F546" s="4"/>
      <c r="G546" s="5"/>
    </row>
    <row r="547" spans="6:7" x14ac:dyDescent="0.3">
      <c r="F547" s="4"/>
      <c r="G547" s="5"/>
    </row>
    <row r="548" spans="6:7" x14ac:dyDescent="0.3">
      <c r="F548" s="4"/>
      <c r="G548" s="5"/>
    </row>
    <row r="549" spans="6:7" x14ac:dyDescent="0.3">
      <c r="F549" s="4"/>
      <c r="G549" s="5"/>
    </row>
    <row r="550" spans="6:7" x14ac:dyDescent="0.3">
      <c r="F550" s="4"/>
      <c r="G550" s="5"/>
    </row>
    <row r="551" spans="6:7" x14ac:dyDescent="0.3">
      <c r="F551" s="4"/>
      <c r="G551" s="5"/>
    </row>
    <row r="552" spans="6:7" x14ac:dyDescent="0.3">
      <c r="F552" s="4"/>
      <c r="G552" s="5"/>
    </row>
    <row r="553" spans="6:7" x14ac:dyDescent="0.3">
      <c r="F553" s="4"/>
      <c r="G553" s="5"/>
    </row>
    <row r="554" spans="6:7" x14ac:dyDescent="0.3">
      <c r="F554" s="4"/>
      <c r="G554" s="5"/>
    </row>
    <row r="555" spans="6:7" x14ac:dyDescent="0.3">
      <c r="F555" s="4"/>
      <c r="G555" s="5"/>
    </row>
    <row r="556" spans="6:7" x14ac:dyDescent="0.3">
      <c r="F556" s="4"/>
      <c r="G556" s="5"/>
    </row>
    <row r="557" spans="6:7" x14ac:dyDescent="0.3">
      <c r="F557" s="4"/>
      <c r="G557" s="5"/>
    </row>
    <row r="558" spans="6:7" x14ac:dyDescent="0.3">
      <c r="F558" s="4"/>
      <c r="G558" s="5"/>
    </row>
    <row r="559" spans="6:7" x14ac:dyDescent="0.3">
      <c r="F559" s="4"/>
      <c r="G559" s="5"/>
    </row>
    <row r="560" spans="6:7" x14ac:dyDescent="0.3">
      <c r="F560" s="4"/>
      <c r="G560" s="5"/>
    </row>
    <row r="561" spans="6:7" x14ac:dyDescent="0.3">
      <c r="F561" s="4"/>
      <c r="G561" s="5"/>
    </row>
    <row r="562" spans="6:7" x14ac:dyDescent="0.3">
      <c r="F562" s="4"/>
      <c r="G562" s="5"/>
    </row>
    <row r="563" spans="6:7" x14ac:dyDescent="0.3">
      <c r="F563" s="4"/>
      <c r="G563" s="5"/>
    </row>
    <row r="564" spans="6:7" x14ac:dyDescent="0.3">
      <c r="F564" s="4"/>
      <c r="G564" s="5"/>
    </row>
    <row r="565" spans="6:7" x14ac:dyDescent="0.3">
      <c r="F565" s="4"/>
      <c r="G565" s="5"/>
    </row>
    <row r="566" spans="6:7" x14ac:dyDescent="0.3">
      <c r="F566" s="4"/>
      <c r="G566" s="5"/>
    </row>
    <row r="567" spans="6:7" x14ac:dyDescent="0.3">
      <c r="F567" s="4"/>
      <c r="G567" s="5"/>
    </row>
    <row r="568" spans="6:7" x14ac:dyDescent="0.3">
      <c r="F568" s="4"/>
      <c r="G568" s="5"/>
    </row>
    <row r="569" spans="6:7" x14ac:dyDescent="0.3">
      <c r="F569" s="4"/>
      <c r="G569" s="5"/>
    </row>
    <row r="570" spans="6:7" x14ac:dyDescent="0.3">
      <c r="F570" s="4"/>
      <c r="G570" s="5"/>
    </row>
    <row r="571" spans="6:7" x14ac:dyDescent="0.3">
      <c r="F571" s="4"/>
      <c r="G571" s="5"/>
    </row>
    <row r="572" spans="6:7" x14ac:dyDescent="0.3">
      <c r="F572" s="4"/>
      <c r="G572" s="5"/>
    </row>
    <row r="573" spans="6:7" x14ac:dyDescent="0.3">
      <c r="F573" s="4"/>
      <c r="G573" s="5"/>
    </row>
    <row r="574" spans="6:7" x14ac:dyDescent="0.3">
      <c r="F574" s="4"/>
      <c r="G574" s="5"/>
    </row>
    <row r="575" spans="6:7" x14ac:dyDescent="0.3">
      <c r="F575" s="4"/>
      <c r="G575" s="5"/>
    </row>
    <row r="576" spans="6:7" x14ac:dyDescent="0.3">
      <c r="F576" s="4"/>
      <c r="G576" s="5"/>
    </row>
    <row r="577" spans="6:7" x14ac:dyDescent="0.3">
      <c r="F577" s="4"/>
      <c r="G577" s="5"/>
    </row>
    <row r="578" spans="6:7" x14ac:dyDescent="0.3">
      <c r="F578" s="4"/>
      <c r="G578" s="5"/>
    </row>
    <row r="579" spans="6:7" x14ac:dyDescent="0.3">
      <c r="F579" s="4"/>
      <c r="G579" s="5"/>
    </row>
    <row r="580" spans="6:7" x14ac:dyDescent="0.3">
      <c r="F580" s="4"/>
      <c r="G580" s="5"/>
    </row>
    <row r="581" spans="6:7" x14ac:dyDescent="0.3">
      <c r="F581" s="4"/>
      <c r="G581" s="5"/>
    </row>
    <row r="582" spans="6:7" x14ac:dyDescent="0.3">
      <c r="F582" s="4"/>
      <c r="G582" s="5"/>
    </row>
    <row r="583" spans="6:7" x14ac:dyDescent="0.3">
      <c r="F583" s="4"/>
      <c r="G583" s="5"/>
    </row>
    <row r="584" spans="6:7" x14ac:dyDescent="0.3">
      <c r="F584" s="4"/>
      <c r="G584" s="5"/>
    </row>
    <row r="585" spans="6:7" x14ac:dyDescent="0.3">
      <c r="F585" s="4"/>
      <c r="G585" s="5"/>
    </row>
    <row r="586" spans="6:7" x14ac:dyDescent="0.3">
      <c r="F586" s="4"/>
      <c r="G586" s="5"/>
    </row>
    <row r="587" spans="6:7" x14ac:dyDescent="0.3">
      <c r="F587" s="4"/>
      <c r="G587" s="5"/>
    </row>
    <row r="588" spans="6:7" x14ac:dyDescent="0.3">
      <c r="F588" s="4"/>
      <c r="G588" s="5"/>
    </row>
    <row r="589" spans="6:7" x14ac:dyDescent="0.3">
      <c r="F589" s="4"/>
      <c r="G589" s="5"/>
    </row>
    <row r="590" spans="6:7" x14ac:dyDescent="0.3">
      <c r="F590" s="4"/>
      <c r="G590" s="5"/>
    </row>
    <row r="591" spans="6:7" x14ac:dyDescent="0.3">
      <c r="F591" s="4"/>
      <c r="G591" s="5"/>
    </row>
    <row r="592" spans="6:7" x14ac:dyDescent="0.3">
      <c r="F592" s="4"/>
      <c r="G592" s="5"/>
    </row>
    <row r="593" spans="6:7" x14ac:dyDescent="0.3">
      <c r="F593" s="4"/>
      <c r="G593" s="5"/>
    </row>
    <row r="594" spans="6:7" x14ac:dyDescent="0.3">
      <c r="F594" s="4"/>
      <c r="G594" s="5"/>
    </row>
    <row r="595" spans="6:7" x14ac:dyDescent="0.3">
      <c r="F595" s="4"/>
      <c r="G595" s="5"/>
    </row>
    <row r="596" spans="6:7" x14ac:dyDescent="0.3">
      <c r="F596" s="4"/>
      <c r="G596" s="5"/>
    </row>
    <row r="597" spans="6:7" x14ac:dyDescent="0.3">
      <c r="F597" s="4"/>
      <c r="G597" s="5"/>
    </row>
    <row r="598" spans="6:7" x14ac:dyDescent="0.3">
      <c r="F598" s="4"/>
      <c r="G598" s="5"/>
    </row>
    <row r="599" spans="6:7" x14ac:dyDescent="0.3">
      <c r="F599" s="4"/>
      <c r="G599" s="5"/>
    </row>
    <row r="600" spans="6:7" x14ac:dyDescent="0.3">
      <c r="F600" s="4"/>
      <c r="G600" s="5"/>
    </row>
    <row r="601" spans="6:7" x14ac:dyDescent="0.3">
      <c r="F601" s="4"/>
      <c r="G601" s="5"/>
    </row>
    <row r="602" spans="6:7" x14ac:dyDescent="0.3">
      <c r="F602" s="4"/>
      <c r="G602" s="5"/>
    </row>
    <row r="603" spans="6:7" x14ac:dyDescent="0.3">
      <c r="F603" s="4"/>
      <c r="G603" s="5"/>
    </row>
    <row r="604" spans="6:7" x14ac:dyDescent="0.3">
      <c r="F604" s="4"/>
      <c r="G604" s="5"/>
    </row>
    <row r="605" spans="6:7" x14ac:dyDescent="0.3">
      <c r="F605" s="4"/>
      <c r="G605" s="5"/>
    </row>
    <row r="606" spans="6:7" x14ac:dyDescent="0.3">
      <c r="F606" s="4"/>
      <c r="G606" s="5"/>
    </row>
    <row r="607" spans="6:7" x14ac:dyDescent="0.3">
      <c r="F607" s="4"/>
      <c r="G607" s="5"/>
    </row>
    <row r="608" spans="6:7" x14ac:dyDescent="0.3">
      <c r="F608" s="4"/>
      <c r="G608" s="5"/>
    </row>
    <row r="609" spans="6:7" x14ac:dyDescent="0.3">
      <c r="F609" s="4"/>
      <c r="G609" s="5"/>
    </row>
    <row r="610" spans="6:7" x14ac:dyDescent="0.3">
      <c r="F610" s="4"/>
      <c r="G610" s="5"/>
    </row>
    <row r="611" spans="6:7" x14ac:dyDescent="0.3">
      <c r="F611" s="4"/>
      <c r="G611" s="5"/>
    </row>
    <row r="612" spans="6:7" x14ac:dyDescent="0.3">
      <c r="F612" s="4"/>
      <c r="G612" s="5"/>
    </row>
    <row r="613" spans="6:7" x14ac:dyDescent="0.3">
      <c r="F613" s="4"/>
      <c r="G613" s="5"/>
    </row>
    <row r="614" spans="6:7" x14ac:dyDescent="0.3">
      <c r="F614" s="4"/>
      <c r="G614" s="5"/>
    </row>
    <row r="615" spans="6:7" x14ac:dyDescent="0.3">
      <c r="F615" s="4"/>
      <c r="G615" s="5"/>
    </row>
    <row r="616" spans="6:7" x14ac:dyDescent="0.3">
      <c r="F616" s="4"/>
      <c r="G616" s="5"/>
    </row>
    <row r="617" spans="6:7" x14ac:dyDescent="0.3">
      <c r="F617" s="4"/>
      <c r="G617" s="5"/>
    </row>
    <row r="618" spans="6:7" x14ac:dyDescent="0.3">
      <c r="F618" s="4"/>
      <c r="G618" s="5"/>
    </row>
    <row r="619" spans="6:7" x14ac:dyDescent="0.3">
      <c r="F619" s="4"/>
      <c r="G619" s="5"/>
    </row>
    <row r="620" spans="6:7" x14ac:dyDescent="0.3">
      <c r="F620" s="4"/>
      <c r="G620" s="5"/>
    </row>
    <row r="621" spans="6:7" x14ac:dyDescent="0.3">
      <c r="F621" s="4"/>
      <c r="G621" s="5"/>
    </row>
    <row r="622" spans="6:7" x14ac:dyDescent="0.3">
      <c r="F622" s="4"/>
      <c r="G622" s="5"/>
    </row>
    <row r="623" spans="6:7" x14ac:dyDescent="0.3">
      <c r="F623" s="4"/>
      <c r="G623" s="5"/>
    </row>
    <row r="624" spans="6:7" x14ac:dyDescent="0.3">
      <c r="F624" s="4"/>
      <c r="G624" s="5"/>
    </row>
    <row r="625" spans="6:7" x14ac:dyDescent="0.3">
      <c r="F625" s="4"/>
      <c r="G625" s="5"/>
    </row>
    <row r="626" spans="6:7" x14ac:dyDescent="0.3">
      <c r="F626" s="4"/>
      <c r="G626" s="5"/>
    </row>
    <row r="627" spans="6:7" x14ac:dyDescent="0.3">
      <c r="F627" s="4"/>
      <c r="G627" s="5"/>
    </row>
    <row r="628" spans="6:7" x14ac:dyDescent="0.3">
      <c r="F628" s="4"/>
      <c r="G628" s="5"/>
    </row>
    <row r="629" spans="6:7" x14ac:dyDescent="0.3">
      <c r="F629" s="4"/>
      <c r="G629" s="5"/>
    </row>
    <row r="630" spans="6:7" x14ac:dyDescent="0.3">
      <c r="F630" s="4"/>
      <c r="G630" s="5"/>
    </row>
    <row r="631" spans="6:7" x14ac:dyDescent="0.3">
      <c r="F631" s="4"/>
      <c r="G631" s="5"/>
    </row>
    <row r="632" spans="6:7" x14ac:dyDescent="0.3">
      <c r="F632" s="4"/>
      <c r="G632" s="5"/>
    </row>
    <row r="633" spans="6:7" x14ac:dyDescent="0.3">
      <c r="F633" s="4"/>
      <c r="G633" s="5"/>
    </row>
    <row r="634" spans="6:7" x14ac:dyDescent="0.3">
      <c r="F634" s="4"/>
      <c r="G634" s="5"/>
    </row>
    <row r="635" spans="6:7" x14ac:dyDescent="0.3">
      <c r="F635" s="4"/>
      <c r="G635" s="5"/>
    </row>
    <row r="636" spans="6:7" x14ac:dyDescent="0.3">
      <c r="F636" s="4"/>
      <c r="G636" s="5"/>
    </row>
    <row r="637" spans="6:7" x14ac:dyDescent="0.3">
      <c r="F637" s="4"/>
      <c r="G637" s="5"/>
    </row>
    <row r="638" spans="6:7" x14ac:dyDescent="0.3">
      <c r="F638" s="4"/>
      <c r="G638" s="5"/>
    </row>
    <row r="639" spans="6:7" x14ac:dyDescent="0.3">
      <c r="F639" s="4"/>
      <c r="G639" s="5"/>
    </row>
    <row r="640" spans="6:7" x14ac:dyDescent="0.3">
      <c r="F640" s="4"/>
      <c r="G640" s="5"/>
    </row>
    <row r="641" spans="6:7" x14ac:dyDescent="0.3">
      <c r="F641" s="4"/>
      <c r="G641" s="5"/>
    </row>
    <row r="642" spans="6:7" x14ac:dyDescent="0.3">
      <c r="F642" s="4"/>
      <c r="G642" s="5"/>
    </row>
    <row r="643" spans="6:7" x14ac:dyDescent="0.3">
      <c r="F643" s="4"/>
      <c r="G643" s="5"/>
    </row>
    <row r="644" spans="6:7" x14ac:dyDescent="0.3">
      <c r="F644" s="4"/>
      <c r="G644" s="5"/>
    </row>
    <row r="645" spans="6:7" x14ac:dyDescent="0.3">
      <c r="F645" s="4"/>
      <c r="G645" s="5"/>
    </row>
    <row r="646" spans="6:7" x14ac:dyDescent="0.3">
      <c r="F646" s="4"/>
      <c r="G646" s="5"/>
    </row>
    <row r="647" spans="6:7" x14ac:dyDescent="0.3">
      <c r="F647" s="4"/>
      <c r="G647" s="5"/>
    </row>
    <row r="648" spans="6:7" x14ac:dyDescent="0.3">
      <c r="F648" s="4"/>
      <c r="G648" s="5"/>
    </row>
    <row r="649" spans="6:7" x14ac:dyDescent="0.3">
      <c r="F649" s="4"/>
      <c r="G649" s="5"/>
    </row>
    <row r="650" spans="6:7" x14ac:dyDescent="0.3">
      <c r="F650" s="4"/>
      <c r="G650" s="5"/>
    </row>
    <row r="651" spans="6:7" x14ac:dyDescent="0.3">
      <c r="F651" s="4"/>
      <c r="G651" s="5"/>
    </row>
    <row r="652" spans="6:7" x14ac:dyDescent="0.3">
      <c r="F652" s="4"/>
      <c r="G652" s="5"/>
    </row>
    <row r="653" spans="6:7" x14ac:dyDescent="0.3">
      <c r="F653" s="4"/>
      <c r="G653" s="5"/>
    </row>
    <row r="654" spans="6:7" x14ac:dyDescent="0.3">
      <c r="F654" s="4"/>
      <c r="G654" s="5"/>
    </row>
    <row r="655" spans="6:7" x14ac:dyDescent="0.3">
      <c r="F655" s="4"/>
      <c r="G655" s="5"/>
    </row>
    <row r="656" spans="6:7" x14ac:dyDescent="0.3">
      <c r="F656" s="4"/>
      <c r="G656" s="5"/>
    </row>
    <row r="657" spans="6:7" x14ac:dyDescent="0.3">
      <c r="F657" s="4"/>
      <c r="G657" s="5"/>
    </row>
    <row r="658" spans="6:7" x14ac:dyDescent="0.3">
      <c r="F658" s="4"/>
      <c r="G658" s="5"/>
    </row>
  </sheetData>
  <phoneticPr fontId="10"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F755D-58A7-4C89-9908-F12043CC02B5}">
  <dimension ref="A2:Q43"/>
  <sheetViews>
    <sheetView topLeftCell="A21" workbookViewId="0">
      <selection activeCell="N14" sqref="N14"/>
    </sheetView>
  </sheetViews>
  <sheetFormatPr defaultRowHeight="14.4" x14ac:dyDescent="0.3"/>
  <sheetData>
    <row r="2" spans="1:5" ht="61.2" x14ac:dyDescent="1.1000000000000001">
      <c r="A2" s="9">
        <v>1</v>
      </c>
      <c r="B2" s="9" t="s">
        <v>43</v>
      </c>
    </row>
    <row r="5" spans="1:5" ht="15.6" x14ac:dyDescent="0.3">
      <c r="D5" s="52" t="s">
        <v>1</v>
      </c>
      <c r="E5" s="52" t="s">
        <v>58</v>
      </c>
    </row>
    <row r="6" spans="1:5" x14ac:dyDescent="0.3">
      <c r="C6" s="6" t="s">
        <v>52</v>
      </c>
      <c r="D6">
        <f>AVERAGE(data1[Amount])</f>
        <v>4136.2299999999996</v>
      </c>
      <c r="E6">
        <f>AVERAGE(data1[Units])</f>
        <v>152.19999999999999</v>
      </c>
    </row>
    <row r="8" spans="1:5" x14ac:dyDescent="0.3">
      <c r="C8" s="6" t="s">
        <v>53</v>
      </c>
      <c r="D8">
        <f>MEDIAN(data1[Amount])</f>
        <v>3437</v>
      </c>
      <c r="E8">
        <f>MEDIAN(data1[Units])</f>
        <v>124.5</v>
      </c>
    </row>
    <row r="10" spans="1:5" x14ac:dyDescent="0.3">
      <c r="C10" s="6" t="s">
        <v>55</v>
      </c>
      <c r="D10">
        <f>MIN(data1[Amount])</f>
        <v>0</v>
      </c>
      <c r="E10">
        <f>MIN(data1[Units])</f>
        <v>0</v>
      </c>
    </row>
    <row r="12" spans="1:5" x14ac:dyDescent="0.3">
      <c r="C12" s="6" t="s">
        <v>56</v>
      </c>
      <c r="D12">
        <f>MAX(data1[Amount])</f>
        <v>16184</v>
      </c>
      <c r="E12">
        <f>MAX(data1[Units])</f>
        <v>525</v>
      </c>
    </row>
    <row r="14" spans="1:5" x14ac:dyDescent="0.3">
      <c r="C14" s="6" t="s">
        <v>57</v>
      </c>
      <c r="D14">
        <f>D12-D10</f>
        <v>16184</v>
      </c>
      <c r="E14">
        <f>E12-E10</f>
        <v>525</v>
      </c>
    </row>
    <row r="16" spans="1:5" x14ac:dyDescent="0.3">
      <c r="C16" s="6" t="s">
        <v>59</v>
      </c>
      <c r="D16">
        <f>_xlfn.PERCENTILE.EXC(data1[Amount],0.25)</f>
        <v>1652</v>
      </c>
      <c r="E16">
        <f>_xlfn.PERCENTILE.EXC(data1[Units],0.25)</f>
        <v>54</v>
      </c>
    </row>
    <row r="18" spans="3:17" x14ac:dyDescent="0.3">
      <c r="C18" s="6" t="s">
        <v>60</v>
      </c>
      <c r="D18">
        <f>_xlfn.PERCENTILE.EXC(data1[Amount],0.75)</f>
        <v>6245.75</v>
      </c>
      <c r="E18">
        <f>_xlfn.PERCENTILE.EXC(data1[Units],0.75)</f>
        <v>223.5</v>
      </c>
    </row>
    <row r="22" spans="3:17" ht="21" x14ac:dyDescent="0.4">
      <c r="C22" s="53" t="s">
        <v>61</v>
      </c>
      <c r="D22" s="6"/>
      <c r="E22" s="6"/>
      <c r="F22" s="6"/>
      <c r="H22" t="str" cm="1">
        <f t="array" ref="H22:H43">_xlfn.UNIQUE(data1[Product])</f>
        <v>50% Dark Bites</v>
      </c>
      <c r="L22" s="53" t="s">
        <v>62</v>
      </c>
      <c r="M22" s="6"/>
      <c r="N22" s="6"/>
      <c r="O22" s="6"/>
      <c r="Q22">
        <f>COUNTA(_xlfn.UNIQUE(data1[Product]))</f>
        <v>22</v>
      </c>
    </row>
    <row r="23" spans="3:17" x14ac:dyDescent="0.3">
      <c r="H23" t="str">
        <v>Organic Choco Syrup</v>
      </c>
    </row>
    <row r="24" spans="3:17" x14ac:dyDescent="0.3">
      <c r="H24" t="str">
        <v>Milk Bars</v>
      </c>
    </row>
    <row r="25" spans="3:17" x14ac:dyDescent="0.3">
      <c r="H25" t="str">
        <v>Choco Coated Almonds</v>
      </c>
    </row>
    <row r="26" spans="3:17" x14ac:dyDescent="0.3">
      <c r="H26" t="str">
        <v>Orange Choco</v>
      </c>
    </row>
    <row r="27" spans="3:17" x14ac:dyDescent="0.3">
      <c r="H27" t="str">
        <v>White Choc</v>
      </c>
    </row>
    <row r="28" spans="3:17" x14ac:dyDescent="0.3">
      <c r="H28" t="str">
        <v>Caramel Stuffed Bars</v>
      </c>
    </row>
    <row r="29" spans="3:17" x14ac:dyDescent="0.3">
      <c r="H29" t="str">
        <v>Baker's Choco Chips</v>
      </c>
    </row>
    <row r="30" spans="3:17" x14ac:dyDescent="0.3">
      <c r="H30" t="str">
        <v>70% Dark Bites</v>
      </c>
    </row>
    <row r="31" spans="3:17" x14ac:dyDescent="0.3">
      <c r="H31" t="str">
        <v>Peanut Butter Cubes</v>
      </c>
    </row>
    <row r="32" spans="3:17" x14ac:dyDescent="0.3">
      <c r="H32" t="str">
        <v>Mint Chip Choco</v>
      </c>
    </row>
    <row r="33" spans="8:8" x14ac:dyDescent="0.3">
      <c r="H33" t="str">
        <v>Almond Choco</v>
      </c>
    </row>
    <row r="34" spans="8:8" x14ac:dyDescent="0.3">
      <c r="H34" t="str">
        <v>Manuka Honey Choco</v>
      </c>
    </row>
    <row r="35" spans="8:8" x14ac:dyDescent="0.3">
      <c r="H35" t="str">
        <v>After Nines</v>
      </c>
    </row>
    <row r="36" spans="8:8" x14ac:dyDescent="0.3">
      <c r="H36" t="str">
        <v>Smooth Sliky Salty</v>
      </c>
    </row>
    <row r="37" spans="8:8" x14ac:dyDescent="0.3">
      <c r="H37" t="str">
        <v>Eclairs</v>
      </c>
    </row>
    <row r="38" spans="8:8" x14ac:dyDescent="0.3">
      <c r="H38" t="str">
        <v>85% Dark Bars</v>
      </c>
    </row>
    <row r="39" spans="8:8" x14ac:dyDescent="0.3">
      <c r="H39" t="str">
        <v>99% Dark &amp; Pure</v>
      </c>
    </row>
    <row r="40" spans="8:8" x14ac:dyDescent="0.3">
      <c r="H40" t="str">
        <v>Drinking Coco</v>
      </c>
    </row>
    <row r="41" spans="8:8" x14ac:dyDescent="0.3">
      <c r="H41" t="str">
        <v>Spicy Special Slims</v>
      </c>
    </row>
    <row r="42" spans="8:8" x14ac:dyDescent="0.3">
      <c r="H42" t="str">
        <v>Raspberry Choco</v>
      </c>
    </row>
    <row r="43" spans="8:8" x14ac:dyDescent="0.3">
      <c r="H43" t="str">
        <v>Fruit &amp; Nut Bars</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3F95A-0C8B-4324-B6F0-C4726F5BC64C}">
  <dimension ref="B2:F317"/>
  <sheetViews>
    <sheetView topLeftCell="A3" zoomScale="96" zoomScaleNormal="96" workbookViewId="0">
      <selection activeCell="C7" sqref="C7"/>
    </sheetView>
  </sheetViews>
  <sheetFormatPr defaultRowHeight="14.4" x14ac:dyDescent="0.3"/>
  <cols>
    <col min="2" max="2" width="19.5546875" customWidth="1"/>
    <col min="3" max="3" width="14.6640625" customWidth="1"/>
    <col min="4" max="4" width="21.88671875" bestFit="1" customWidth="1"/>
    <col min="5" max="5" width="13.5546875" customWidth="1"/>
    <col min="6" max="6" width="11.6640625" customWidth="1"/>
  </cols>
  <sheetData>
    <row r="2" spans="2:6" ht="61.2" x14ac:dyDescent="1.1000000000000001">
      <c r="B2" s="9" t="s">
        <v>63</v>
      </c>
    </row>
    <row r="7" spans="2:6" x14ac:dyDescent="0.3">
      <c r="B7" s="22"/>
      <c r="C7" s="22"/>
      <c r="D7" s="22"/>
      <c r="E7" s="22"/>
      <c r="F7" s="22"/>
    </row>
    <row r="11" spans="2:6" x14ac:dyDescent="0.3">
      <c r="B11" s="6" t="s">
        <v>11</v>
      </c>
      <c r="C11" s="6" t="s">
        <v>12</v>
      </c>
      <c r="D11" s="6" t="s">
        <v>0</v>
      </c>
      <c r="E11" s="6" t="s">
        <v>1</v>
      </c>
      <c r="F11" s="6" t="s">
        <v>47</v>
      </c>
    </row>
    <row r="12" spans="2:6" hidden="1" x14ac:dyDescent="0.3">
      <c r="B12" t="s">
        <v>10</v>
      </c>
      <c r="C12" t="s">
        <v>38</v>
      </c>
      <c r="D12" t="s">
        <v>14</v>
      </c>
      <c r="E12" s="4">
        <v>5586</v>
      </c>
      <c r="F12" s="5">
        <v>525</v>
      </c>
    </row>
    <row r="13" spans="2:6" hidden="1" x14ac:dyDescent="0.3">
      <c r="B13" t="s">
        <v>2</v>
      </c>
      <c r="C13" t="s">
        <v>36</v>
      </c>
      <c r="D13" t="s">
        <v>27</v>
      </c>
      <c r="E13" s="4">
        <v>798</v>
      </c>
      <c r="F13" s="5">
        <v>519</v>
      </c>
    </row>
    <row r="14" spans="2:6" hidden="1" x14ac:dyDescent="0.3">
      <c r="B14" t="s">
        <v>8</v>
      </c>
      <c r="C14" t="s">
        <v>38</v>
      </c>
      <c r="D14" t="s">
        <v>13</v>
      </c>
      <c r="E14" s="4">
        <v>819</v>
      </c>
      <c r="F14" s="5">
        <v>510</v>
      </c>
    </row>
    <row r="15" spans="2:6" hidden="1" x14ac:dyDescent="0.3">
      <c r="B15" t="s">
        <v>3</v>
      </c>
      <c r="C15" t="s">
        <v>34</v>
      </c>
      <c r="D15" t="s">
        <v>32</v>
      </c>
      <c r="E15" s="4">
        <v>7777</v>
      </c>
      <c r="F15" s="5">
        <v>504</v>
      </c>
    </row>
    <row r="16" spans="2:6" hidden="1" x14ac:dyDescent="0.3">
      <c r="B16" t="s">
        <v>9</v>
      </c>
      <c r="C16" t="s">
        <v>34</v>
      </c>
      <c r="D16" t="s">
        <v>20</v>
      </c>
      <c r="E16" s="4">
        <v>8463</v>
      </c>
      <c r="F16" s="5">
        <v>492</v>
      </c>
    </row>
    <row r="17" spans="2:6" hidden="1" x14ac:dyDescent="0.3">
      <c r="B17" t="s">
        <v>2</v>
      </c>
      <c r="C17" t="s">
        <v>39</v>
      </c>
      <c r="D17" t="s">
        <v>25</v>
      </c>
      <c r="E17" s="4">
        <v>1785</v>
      </c>
      <c r="F17" s="5">
        <v>462</v>
      </c>
    </row>
    <row r="18" spans="2:6" hidden="1" x14ac:dyDescent="0.3">
      <c r="B18" t="s">
        <v>8</v>
      </c>
      <c r="C18" t="s">
        <v>35</v>
      </c>
      <c r="D18" t="s">
        <v>32</v>
      </c>
      <c r="E18" s="4">
        <v>6706</v>
      </c>
      <c r="F18" s="5">
        <v>459</v>
      </c>
    </row>
    <row r="19" spans="2:6" hidden="1" x14ac:dyDescent="0.3">
      <c r="B19" t="s">
        <v>6</v>
      </c>
      <c r="C19" t="s">
        <v>37</v>
      </c>
      <c r="D19" t="s">
        <v>28</v>
      </c>
      <c r="E19" s="4">
        <v>3556</v>
      </c>
      <c r="F19" s="5">
        <v>459</v>
      </c>
    </row>
    <row r="20" spans="2:6" hidden="1" x14ac:dyDescent="0.3">
      <c r="B20" t="s">
        <v>6</v>
      </c>
      <c r="C20" t="s">
        <v>34</v>
      </c>
      <c r="D20" t="s">
        <v>26</v>
      </c>
      <c r="E20" s="4">
        <v>8008</v>
      </c>
      <c r="F20" s="5">
        <v>456</v>
      </c>
    </row>
    <row r="21" spans="2:6" hidden="1" x14ac:dyDescent="0.3">
      <c r="B21" t="s">
        <v>40</v>
      </c>
      <c r="C21" t="s">
        <v>35</v>
      </c>
      <c r="D21" t="s">
        <v>30</v>
      </c>
      <c r="E21" s="4">
        <v>2275</v>
      </c>
      <c r="F21" s="5">
        <v>447</v>
      </c>
    </row>
    <row r="22" spans="2:6" hidden="1" x14ac:dyDescent="0.3">
      <c r="B22" t="s">
        <v>40</v>
      </c>
      <c r="C22" t="s">
        <v>35</v>
      </c>
      <c r="D22" t="s">
        <v>33</v>
      </c>
      <c r="E22" s="4">
        <v>8869</v>
      </c>
      <c r="F22" s="5">
        <v>432</v>
      </c>
    </row>
    <row r="23" spans="2:6" hidden="1" x14ac:dyDescent="0.3">
      <c r="B23" t="s">
        <v>6</v>
      </c>
      <c r="C23" t="s">
        <v>39</v>
      </c>
      <c r="D23" t="s">
        <v>25</v>
      </c>
      <c r="E23" s="4">
        <v>2100</v>
      </c>
      <c r="F23" s="5">
        <v>414</v>
      </c>
    </row>
    <row r="24" spans="2:6" hidden="1" x14ac:dyDescent="0.3">
      <c r="B24" t="s">
        <v>6</v>
      </c>
      <c r="C24" t="s">
        <v>37</v>
      </c>
      <c r="D24" t="s">
        <v>16</v>
      </c>
      <c r="E24" s="4">
        <v>1904</v>
      </c>
      <c r="F24" s="5">
        <v>405</v>
      </c>
    </row>
    <row r="25" spans="2:6" hidden="1" x14ac:dyDescent="0.3">
      <c r="B25" t="s">
        <v>6</v>
      </c>
      <c r="C25" t="s">
        <v>35</v>
      </c>
      <c r="D25" t="s">
        <v>4</v>
      </c>
      <c r="E25" s="4">
        <v>1302</v>
      </c>
      <c r="F25" s="5">
        <v>402</v>
      </c>
    </row>
    <row r="26" spans="2:6" hidden="1" x14ac:dyDescent="0.3">
      <c r="B26" t="s">
        <v>6</v>
      </c>
      <c r="C26" t="s">
        <v>39</v>
      </c>
      <c r="D26" t="s">
        <v>29</v>
      </c>
      <c r="E26" s="4">
        <v>3052</v>
      </c>
      <c r="F26" s="5">
        <v>378</v>
      </c>
    </row>
    <row r="27" spans="2:6" hidden="1" x14ac:dyDescent="0.3">
      <c r="B27" t="s">
        <v>40</v>
      </c>
      <c r="C27" t="s">
        <v>35</v>
      </c>
      <c r="D27" t="s">
        <v>22</v>
      </c>
      <c r="E27" s="4">
        <v>6853</v>
      </c>
      <c r="F27" s="5">
        <v>372</v>
      </c>
    </row>
    <row r="28" spans="2:6" hidden="1" x14ac:dyDescent="0.3">
      <c r="B28" t="s">
        <v>7</v>
      </c>
      <c r="C28" t="s">
        <v>34</v>
      </c>
      <c r="D28" t="s">
        <v>14</v>
      </c>
      <c r="E28" s="4">
        <v>1932</v>
      </c>
      <c r="F28" s="5">
        <v>369</v>
      </c>
    </row>
    <row r="29" spans="2:6" hidden="1" x14ac:dyDescent="0.3">
      <c r="B29" t="s">
        <v>6</v>
      </c>
      <c r="C29" t="s">
        <v>34</v>
      </c>
      <c r="D29" t="s">
        <v>30</v>
      </c>
      <c r="E29" s="4">
        <v>3402</v>
      </c>
      <c r="F29" s="5">
        <v>366</v>
      </c>
    </row>
    <row r="30" spans="2:6" hidden="1" x14ac:dyDescent="0.3">
      <c r="B30" t="s">
        <v>3</v>
      </c>
      <c r="C30" t="s">
        <v>37</v>
      </c>
      <c r="D30" t="s">
        <v>4</v>
      </c>
      <c r="E30" s="4">
        <v>938</v>
      </c>
      <c r="F30" s="5">
        <v>366</v>
      </c>
    </row>
    <row r="31" spans="2:6" hidden="1" x14ac:dyDescent="0.3">
      <c r="B31" t="s">
        <v>8</v>
      </c>
      <c r="C31" t="s">
        <v>35</v>
      </c>
      <c r="D31" t="s">
        <v>20</v>
      </c>
      <c r="E31" s="4">
        <v>2702</v>
      </c>
      <c r="F31" s="5">
        <v>363</v>
      </c>
    </row>
    <row r="32" spans="2:6" hidden="1" x14ac:dyDescent="0.3">
      <c r="B32" t="s">
        <v>5</v>
      </c>
      <c r="C32" t="s">
        <v>35</v>
      </c>
      <c r="D32" t="s">
        <v>29</v>
      </c>
      <c r="E32" s="4">
        <v>4480</v>
      </c>
      <c r="F32" s="5">
        <v>357</v>
      </c>
    </row>
    <row r="33" spans="2:6" hidden="1" x14ac:dyDescent="0.3">
      <c r="B33" t="s">
        <v>2</v>
      </c>
      <c r="C33" t="s">
        <v>38</v>
      </c>
      <c r="D33" t="s">
        <v>31</v>
      </c>
      <c r="E33" s="4">
        <v>4326</v>
      </c>
      <c r="F33" s="5">
        <v>348</v>
      </c>
    </row>
    <row r="34" spans="2:6" hidden="1" x14ac:dyDescent="0.3">
      <c r="B34" t="s">
        <v>5</v>
      </c>
      <c r="C34" t="s">
        <v>36</v>
      </c>
      <c r="D34" t="s">
        <v>17</v>
      </c>
      <c r="E34" s="4">
        <v>3339</v>
      </c>
      <c r="F34" s="5">
        <v>348</v>
      </c>
    </row>
    <row r="35" spans="2:6" hidden="1" x14ac:dyDescent="0.3">
      <c r="B35" t="s">
        <v>10</v>
      </c>
      <c r="C35" t="s">
        <v>36</v>
      </c>
      <c r="D35" t="s">
        <v>29</v>
      </c>
      <c r="E35" s="4">
        <v>2471</v>
      </c>
      <c r="F35" s="5">
        <v>342</v>
      </c>
    </row>
    <row r="36" spans="2:6" x14ac:dyDescent="0.3">
      <c r="B36" t="s">
        <v>5</v>
      </c>
      <c r="C36" t="s">
        <v>34</v>
      </c>
      <c r="D36" t="s">
        <v>20</v>
      </c>
      <c r="E36" s="4">
        <v>15610</v>
      </c>
      <c r="F36" s="5">
        <v>339</v>
      </c>
    </row>
    <row r="37" spans="2:6" hidden="1" x14ac:dyDescent="0.3">
      <c r="B37" t="s">
        <v>7</v>
      </c>
      <c r="C37" t="s">
        <v>37</v>
      </c>
      <c r="D37" t="s">
        <v>16</v>
      </c>
      <c r="E37" s="4">
        <v>4487</v>
      </c>
      <c r="F37" s="5">
        <v>333</v>
      </c>
    </row>
    <row r="38" spans="2:6" hidden="1" x14ac:dyDescent="0.3">
      <c r="B38" t="s">
        <v>3</v>
      </c>
      <c r="C38" t="s">
        <v>37</v>
      </c>
      <c r="D38" t="s">
        <v>28</v>
      </c>
      <c r="E38" s="4">
        <v>7308</v>
      </c>
      <c r="F38" s="5">
        <v>327</v>
      </c>
    </row>
    <row r="39" spans="2:6" hidden="1" x14ac:dyDescent="0.3">
      <c r="B39" t="s">
        <v>3</v>
      </c>
      <c r="C39" t="s">
        <v>37</v>
      </c>
      <c r="D39" t="s">
        <v>29</v>
      </c>
      <c r="E39" s="4">
        <v>4592</v>
      </c>
      <c r="F39" s="5">
        <v>324</v>
      </c>
    </row>
    <row r="40" spans="2:6" hidden="1" x14ac:dyDescent="0.3">
      <c r="B40" t="s">
        <v>7</v>
      </c>
      <c r="C40" t="s">
        <v>38</v>
      </c>
      <c r="D40" t="s">
        <v>30</v>
      </c>
      <c r="E40" s="4">
        <v>10129</v>
      </c>
      <c r="F40" s="5">
        <v>312</v>
      </c>
    </row>
    <row r="41" spans="2:6" hidden="1" x14ac:dyDescent="0.3">
      <c r="B41" t="s">
        <v>3</v>
      </c>
      <c r="C41" t="s">
        <v>34</v>
      </c>
      <c r="D41" t="s">
        <v>28</v>
      </c>
      <c r="E41" s="4">
        <v>3689</v>
      </c>
      <c r="F41" s="5">
        <v>312</v>
      </c>
    </row>
    <row r="42" spans="2:6" hidden="1" x14ac:dyDescent="0.3">
      <c r="B42" t="s">
        <v>41</v>
      </c>
      <c r="C42" t="s">
        <v>36</v>
      </c>
      <c r="D42" t="s">
        <v>28</v>
      </c>
      <c r="E42" s="4">
        <v>854</v>
      </c>
      <c r="F42" s="5">
        <v>309</v>
      </c>
    </row>
    <row r="43" spans="2:6" hidden="1" x14ac:dyDescent="0.3">
      <c r="B43" t="s">
        <v>9</v>
      </c>
      <c r="C43" t="s">
        <v>39</v>
      </c>
      <c r="D43" t="s">
        <v>24</v>
      </c>
      <c r="E43" s="4">
        <v>3920</v>
      </c>
      <c r="F43" s="5">
        <v>306</v>
      </c>
    </row>
    <row r="44" spans="2:6" hidden="1" x14ac:dyDescent="0.3">
      <c r="B44" t="s">
        <v>40</v>
      </c>
      <c r="C44" t="s">
        <v>36</v>
      </c>
      <c r="D44" t="s">
        <v>27</v>
      </c>
      <c r="E44" s="4">
        <v>3164</v>
      </c>
      <c r="F44" s="5">
        <v>306</v>
      </c>
    </row>
    <row r="45" spans="2:6" hidden="1" x14ac:dyDescent="0.3">
      <c r="B45" t="s">
        <v>3</v>
      </c>
      <c r="C45" t="s">
        <v>35</v>
      </c>
      <c r="D45" t="s">
        <v>33</v>
      </c>
      <c r="E45" s="4">
        <v>819</v>
      </c>
      <c r="F45" s="5">
        <v>306</v>
      </c>
    </row>
    <row r="46" spans="2:6" hidden="1" x14ac:dyDescent="0.3">
      <c r="B46" t="s">
        <v>3</v>
      </c>
      <c r="C46" t="s">
        <v>38</v>
      </c>
      <c r="D46" t="s">
        <v>26</v>
      </c>
      <c r="E46" s="4">
        <v>8841</v>
      </c>
      <c r="F46" s="5">
        <v>303</v>
      </c>
    </row>
    <row r="47" spans="2:6" hidden="1" x14ac:dyDescent="0.3">
      <c r="B47" t="s">
        <v>10</v>
      </c>
      <c r="C47" t="s">
        <v>36</v>
      </c>
      <c r="D47" t="s">
        <v>32</v>
      </c>
      <c r="E47" s="4">
        <v>6657</v>
      </c>
      <c r="F47" s="5">
        <v>303</v>
      </c>
    </row>
    <row r="48" spans="2:6" hidden="1" x14ac:dyDescent="0.3">
      <c r="B48" t="s">
        <v>2</v>
      </c>
      <c r="C48" t="s">
        <v>35</v>
      </c>
      <c r="D48" t="s">
        <v>17</v>
      </c>
      <c r="E48" s="4">
        <v>1589</v>
      </c>
      <c r="F48" s="5">
        <v>303</v>
      </c>
    </row>
    <row r="49" spans="2:6" hidden="1" x14ac:dyDescent="0.3">
      <c r="B49" t="s">
        <v>8</v>
      </c>
      <c r="C49" t="s">
        <v>35</v>
      </c>
      <c r="D49" t="s">
        <v>27</v>
      </c>
      <c r="E49" s="4">
        <v>4753</v>
      </c>
      <c r="F49" s="5">
        <v>300</v>
      </c>
    </row>
    <row r="50" spans="2:6" hidden="1" x14ac:dyDescent="0.3">
      <c r="B50" t="s">
        <v>7</v>
      </c>
      <c r="C50" t="s">
        <v>36</v>
      </c>
      <c r="D50" t="s">
        <v>19</v>
      </c>
      <c r="E50" s="4">
        <v>2870</v>
      </c>
      <c r="F50" s="5">
        <v>300</v>
      </c>
    </row>
    <row r="51" spans="2:6" hidden="1" x14ac:dyDescent="0.3">
      <c r="B51" t="s">
        <v>40</v>
      </c>
      <c r="C51" t="s">
        <v>38</v>
      </c>
      <c r="D51" t="s">
        <v>13</v>
      </c>
      <c r="E51" s="4">
        <v>5670</v>
      </c>
      <c r="F51" s="5">
        <v>297</v>
      </c>
    </row>
    <row r="52" spans="2:6" hidden="1" x14ac:dyDescent="0.3">
      <c r="B52" t="s">
        <v>41</v>
      </c>
      <c r="C52" t="s">
        <v>36</v>
      </c>
      <c r="D52" t="s">
        <v>18</v>
      </c>
      <c r="E52" s="4">
        <v>9632</v>
      </c>
      <c r="F52" s="5">
        <v>288</v>
      </c>
    </row>
    <row r="53" spans="2:6" hidden="1" x14ac:dyDescent="0.3">
      <c r="B53" t="s">
        <v>7</v>
      </c>
      <c r="C53" t="s">
        <v>35</v>
      </c>
      <c r="D53" t="s">
        <v>28</v>
      </c>
      <c r="E53" s="4">
        <v>5194</v>
      </c>
      <c r="F53" s="5">
        <v>288</v>
      </c>
    </row>
    <row r="54" spans="2:6" hidden="1" x14ac:dyDescent="0.3">
      <c r="B54" t="s">
        <v>8</v>
      </c>
      <c r="C54" t="s">
        <v>34</v>
      </c>
      <c r="D54" t="s">
        <v>31</v>
      </c>
      <c r="E54" s="4">
        <v>3507</v>
      </c>
      <c r="F54" s="5">
        <v>288</v>
      </c>
    </row>
    <row r="55" spans="2:6" hidden="1" x14ac:dyDescent="0.3">
      <c r="B55" t="s">
        <v>10</v>
      </c>
      <c r="C55" t="s">
        <v>37</v>
      </c>
      <c r="D55" t="s">
        <v>21</v>
      </c>
      <c r="E55" s="4">
        <v>245</v>
      </c>
      <c r="F55" s="5">
        <v>288</v>
      </c>
    </row>
    <row r="56" spans="2:6" hidden="1" x14ac:dyDescent="0.3">
      <c r="B56" t="s">
        <v>6</v>
      </c>
      <c r="C56" t="s">
        <v>38</v>
      </c>
      <c r="D56" t="s">
        <v>27</v>
      </c>
      <c r="E56" s="4">
        <v>1134</v>
      </c>
      <c r="F56" s="5">
        <v>282</v>
      </c>
    </row>
    <row r="57" spans="2:6" hidden="1" x14ac:dyDescent="0.3">
      <c r="B57" t="s">
        <v>10</v>
      </c>
      <c r="C57" t="s">
        <v>39</v>
      </c>
      <c r="D57" t="s">
        <v>21</v>
      </c>
      <c r="E57" s="4">
        <v>4858</v>
      </c>
      <c r="F57" s="5">
        <v>279</v>
      </c>
    </row>
    <row r="58" spans="2:6" hidden="1" x14ac:dyDescent="0.3">
      <c r="B58" t="s">
        <v>10</v>
      </c>
      <c r="C58" t="s">
        <v>35</v>
      </c>
      <c r="D58" t="s">
        <v>18</v>
      </c>
      <c r="E58" s="4">
        <v>3808</v>
      </c>
      <c r="F58" s="5">
        <v>279</v>
      </c>
    </row>
    <row r="59" spans="2:6" hidden="1" x14ac:dyDescent="0.3">
      <c r="B59" t="s">
        <v>3</v>
      </c>
      <c r="C59" t="s">
        <v>34</v>
      </c>
      <c r="D59" t="s">
        <v>14</v>
      </c>
      <c r="E59" s="4">
        <v>7259</v>
      </c>
      <c r="F59" s="5">
        <v>276</v>
      </c>
    </row>
    <row r="60" spans="2:6" hidden="1" x14ac:dyDescent="0.3">
      <c r="B60" t="s">
        <v>3</v>
      </c>
      <c r="C60" t="s">
        <v>35</v>
      </c>
      <c r="D60" t="s">
        <v>15</v>
      </c>
      <c r="E60" s="4">
        <v>6657</v>
      </c>
      <c r="F60" s="5">
        <v>276</v>
      </c>
    </row>
    <row r="61" spans="2:6" hidden="1" x14ac:dyDescent="0.3">
      <c r="B61" t="s">
        <v>9</v>
      </c>
      <c r="C61" t="s">
        <v>37</v>
      </c>
      <c r="D61" t="s">
        <v>29</v>
      </c>
      <c r="E61" s="4">
        <v>1085</v>
      </c>
      <c r="F61" s="5">
        <v>273</v>
      </c>
    </row>
    <row r="62" spans="2:6" hidden="1" x14ac:dyDescent="0.3">
      <c r="B62" t="s">
        <v>7</v>
      </c>
      <c r="C62" t="s">
        <v>38</v>
      </c>
      <c r="D62" t="s">
        <v>18</v>
      </c>
      <c r="E62" s="4">
        <v>1778</v>
      </c>
      <c r="F62" s="5">
        <v>270</v>
      </c>
    </row>
    <row r="63" spans="2:6" hidden="1" x14ac:dyDescent="0.3">
      <c r="B63" t="s">
        <v>6</v>
      </c>
      <c r="C63" t="s">
        <v>35</v>
      </c>
      <c r="D63" t="s">
        <v>20</v>
      </c>
      <c r="E63" s="4">
        <v>1071</v>
      </c>
      <c r="F63" s="5">
        <v>270</v>
      </c>
    </row>
    <row r="64" spans="2:6" hidden="1" x14ac:dyDescent="0.3">
      <c r="B64" t="s">
        <v>10</v>
      </c>
      <c r="C64" t="s">
        <v>36</v>
      </c>
      <c r="D64" t="s">
        <v>23</v>
      </c>
      <c r="E64" s="4">
        <v>2317</v>
      </c>
      <c r="F64" s="5">
        <v>261</v>
      </c>
    </row>
    <row r="65" spans="2:6" hidden="1" x14ac:dyDescent="0.3">
      <c r="B65" t="s">
        <v>7</v>
      </c>
      <c r="C65" t="s">
        <v>38</v>
      </c>
      <c r="D65" t="s">
        <v>28</v>
      </c>
      <c r="E65" s="4">
        <v>5677</v>
      </c>
      <c r="F65" s="5">
        <v>258</v>
      </c>
    </row>
    <row r="66" spans="2:6" hidden="1" x14ac:dyDescent="0.3">
      <c r="B66" t="s">
        <v>3</v>
      </c>
      <c r="C66" t="s">
        <v>35</v>
      </c>
      <c r="D66" t="s">
        <v>14</v>
      </c>
      <c r="E66" s="4">
        <v>2415</v>
      </c>
      <c r="F66" s="5">
        <v>255</v>
      </c>
    </row>
    <row r="67" spans="2:6" hidden="1" x14ac:dyDescent="0.3">
      <c r="B67" t="s">
        <v>7</v>
      </c>
      <c r="C67" t="s">
        <v>35</v>
      </c>
      <c r="D67" t="s">
        <v>30</v>
      </c>
      <c r="E67" s="4">
        <v>6755</v>
      </c>
      <c r="F67" s="5">
        <v>252</v>
      </c>
    </row>
    <row r="68" spans="2:6" hidden="1" x14ac:dyDescent="0.3">
      <c r="B68" t="s">
        <v>7</v>
      </c>
      <c r="C68" t="s">
        <v>36</v>
      </c>
      <c r="D68" t="s">
        <v>29</v>
      </c>
      <c r="E68" s="4">
        <v>5551</v>
      </c>
      <c r="F68" s="5">
        <v>252</v>
      </c>
    </row>
    <row r="69" spans="2:6" hidden="1" x14ac:dyDescent="0.3">
      <c r="B69" t="s">
        <v>5</v>
      </c>
      <c r="C69" t="s">
        <v>39</v>
      </c>
      <c r="D69" t="s">
        <v>18</v>
      </c>
      <c r="E69" s="4">
        <v>385</v>
      </c>
      <c r="F69" s="5">
        <v>249</v>
      </c>
    </row>
    <row r="70" spans="2:6" hidden="1" x14ac:dyDescent="0.3">
      <c r="B70" t="s">
        <v>5</v>
      </c>
      <c r="C70" t="s">
        <v>35</v>
      </c>
      <c r="D70" t="s">
        <v>31</v>
      </c>
      <c r="E70" s="4">
        <v>4753</v>
      </c>
      <c r="F70" s="5">
        <v>246</v>
      </c>
    </row>
    <row r="71" spans="2:6" hidden="1" x14ac:dyDescent="0.3">
      <c r="B71" t="s">
        <v>7</v>
      </c>
      <c r="C71" t="s">
        <v>39</v>
      </c>
      <c r="D71" t="s">
        <v>17</v>
      </c>
      <c r="E71" s="4">
        <v>4438</v>
      </c>
      <c r="F71" s="5">
        <v>246</v>
      </c>
    </row>
    <row r="72" spans="2:6" hidden="1" x14ac:dyDescent="0.3">
      <c r="B72" t="s">
        <v>2</v>
      </c>
      <c r="C72" t="s">
        <v>36</v>
      </c>
      <c r="D72" t="s">
        <v>31</v>
      </c>
      <c r="E72" s="4">
        <v>3094</v>
      </c>
      <c r="F72" s="5">
        <v>246</v>
      </c>
    </row>
    <row r="73" spans="2:6" hidden="1" x14ac:dyDescent="0.3">
      <c r="B73" t="s">
        <v>9</v>
      </c>
      <c r="C73" t="s">
        <v>37</v>
      </c>
      <c r="D73" t="s">
        <v>26</v>
      </c>
      <c r="E73" s="4">
        <v>2856</v>
      </c>
      <c r="F73" s="5">
        <v>246</v>
      </c>
    </row>
    <row r="74" spans="2:6" hidden="1" x14ac:dyDescent="0.3">
      <c r="B74" t="s">
        <v>9</v>
      </c>
      <c r="C74" t="s">
        <v>35</v>
      </c>
      <c r="D74" t="s">
        <v>15</v>
      </c>
      <c r="E74" s="4">
        <v>7833</v>
      </c>
      <c r="F74" s="5">
        <v>243</v>
      </c>
    </row>
    <row r="75" spans="2:6" hidden="1" x14ac:dyDescent="0.3">
      <c r="B75" t="s">
        <v>7</v>
      </c>
      <c r="C75" t="s">
        <v>35</v>
      </c>
      <c r="D75" t="s">
        <v>19</v>
      </c>
      <c r="E75" s="4">
        <v>4585</v>
      </c>
      <c r="F75" s="5">
        <v>240</v>
      </c>
    </row>
    <row r="76" spans="2:6" hidden="1" x14ac:dyDescent="0.3">
      <c r="B76" t="s">
        <v>41</v>
      </c>
      <c r="C76" t="s">
        <v>37</v>
      </c>
      <c r="D76" t="s">
        <v>30</v>
      </c>
      <c r="E76" s="4">
        <v>1526</v>
      </c>
      <c r="F76" s="5">
        <v>240</v>
      </c>
    </row>
    <row r="77" spans="2:6" hidden="1" x14ac:dyDescent="0.3">
      <c r="B77" t="s">
        <v>5</v>
      </c>
      <c r="C77" t="s">
        <v>34</v>
      </c>
      <c r="D77" t="s">
        <v>22</v>
      </c>
      <c r="E77" s="4">
        <v>6279</v>
      </c>
      <c r="F77" s="5">
        <v>237</v>
      </c>
    </row>
    <row r="78" spans="2:6" x14ac:dyDescent="0.3">
      <c r="B78" t="s">
        <v>40</v>
      </c>
      <c r="C78" t="s">
        <v>35</v>
      </c>
      <c r="D78" t="s">
        <v>32</v>
      </c>
      <c r="E78" s="4">
        <v>12348</v>
      </c>
      <c r="F78" s="5">
        <v>234</v>
      </c>
    </row>
    <row r="79" spans="2:6" hidden="1" x14ac:dyDescent="0.3">
      <c r="B79" t="s">
        <v>3</v>
      </c>
      <c r="C79" t="s">
        <v>35</v>
      </c>
      <c r="D79" t="s">
        <v>25</v>
      </c>
      <c r="E79" s="4">
        <v>2464</v>
      </c>
      <c r="F79" s="5">
        <v>234</v>
      </c>
    </row>
    <row r="80" spans="2:6" hidden="1" x14ac:dyDescent="0.3">
      <c r="B80" t="s">
        <v>8</v>
      </c>
      <c r="C80" t="s">
        <v>38</v>
      </c>
      <c r="D80" t="s">
        <v>23</v>
      </c>
      <c r="E80" s="4">
        <v>1701</v>
      </c>
      <c r="F80" s="5">
        <v>234</v>
      </c>
    </row>
    <row r="81" spans="2:6" x14ac:dyDescent="0.3">
      <c r="B81" t="s">
        <v>41</v>
      </c>
      <c r="C81" t="s">
        <v>36</v>
      </c>
      <c r="D81" t="s">
        <v>13</v>
      </c>
      <c r="E81" s="4">
        <v>10311</v>
      </c>
      <c r="F81" s="5">
        <v>231</v>
      </c>
    </row>
    <row r="82" spans="2:6" hidden="1" x14ac:dyDescent="0.3">
      <c r="B82" t="s">
        <v>41</v>
      </c>
      <c r="C82" t="s">
        <v>37</v>
      </c>
      <c r="D82" t="s">
        <v>15</v>
      </c>
      <c r="E82" s="4">
        <v>714</v>
      </c>
      <c r="F82" s="5">
        <v>231</v>
      </c>
    </row>
    <row r="83" spans="2:6" hidden="1" x14ac:dyDescent="0.3">
      <c r="B83" t="s">
        <v>10</v>
      </c>
      <c r="C83" t="s">
        <v>35</v>
      </c>
      <c r="D83" t="s">
        <v>21</v>
      </c>
      <c r="E83" s="4">
        <v>567</v>
      </c>
      <c r="F83" s="5">
        <v>228</v>
      </c>
    </row>
    <row r="84" spans="2:6" hidden="1" x14ac:dyDescent="0.3">
      <c r="B84" t="s">
        <v>7</v>
      </c>
      <c r="C84" t="s">
        <v>37</v>
      </c>
      <c r="D84" t="s">
        <v>14</v>
      </c>
      <c r="E84" s="4">
        <v>6608</v>
      </c>
      <c r="F84" s="5">
        <v>225</v>
      </c>
    </row>
    <row r="85" spans="2:6" hidden="1" x14ac:dyDescent="0.3">
      <c r="B85" t="s">
        <v>40</v>
      </c>
      <c r="C85" t="s">
        <v>39</v>
      </c>
      <c r="D85" t="s">
        <v>28</v>
      </c>
      <c r="E85" s="4">
        <v>3101</v>
      </c>
      <c r="F85" s="5">
        <v>225</v>
      </c>
    </row>
    <row r="86" spans="2:6" hidden="1" x14ac:dyDescent="0.3">
      <c r="B86" t="s">
        <v>41</v>
      </c>
      <c r="C86" t="s">
        <v>34</v>
      </c>
      <c r="D86" t="s">
        <v>16</v>
      </c>
      <c r="E86" s="4">
        <v>1274</v>
      </c>
      <c r="F86" s="5">
        <v>225</v>
      </c>
    </row>
    <row r="87" spans="2:6" hidden="1" x14ac:dyDescent="0.3">
      <c r="B87" t="s">
        <v>8</v>
      </c>
      <c r="C87" t="s">
        <v>34</v>
      </c>
      <c r="D87" t="s">
        <v>16</v>
      </c>
      <c r="E87" s="4">
        <v>2009</v>
      </c>
      <c r="F87" s="5">
        <v>219</v>
      </c>
    </row>
    <row r="88" spans="2:6" hidden="1" x14ac:dyDescent="0.3">
      <c r="B88" t="s">
        <v>41</v>
      </c>
      <c r="C88" t="s">
        <v>35</v>
      </c>
      <c r="D88" t="s">
        <v>28</v>
      </c>
      <c r="E88" s="4">
        <v>7455</v>
      </c>
      <c r="F88" s="5">
        <v>216</v>
      </c>
    </row>
    <row r="89" spans="2:6" hidden="1" x14ac:dyDescent="0.3">
      <c r="B89" t="s">
        <v>2</v>
      </c>
      <c r="C89" t="s">
        <v>39</v>
      </c>
      <c r="D89" t="s">
        <v>21</v>
      </c>
      <c r="E89" s="4">
        <v>7651</v>
      </c>
      <c r="F89" s="5">
        <v>213</v>
      </c>
    </row>
    <row r="90" spans="2:6" hidden="1" x14ac:dyDescent="0.3">
      <c r="B90" t="s">
        <v>8</v>
      </c>
      <c r="C90" t="s">
        <v>38</v>
      </c>
      <c r="D90" t="s">
        <v>32</v>
      </c>
      <c r="E90" s="4">
        <v>3752</v>
      </c>
      <c r="F90" s="5">
        <v>213</v>
      </c>
    </row>
    <row r="91" spans="2:6" hidden="1" x14ac:dyDescent="0.3">
      <c r="B91" t="s">
        <v>8</v>
      </c>
      <c r="C91" t="s">
        <v>39</v>
      </c>
      <c r="D91" t="s">
        <v>31</v>
      </c>
      <c r="E91" s="4">
        <v>8890</v>
      </c>
      <c r="F91" s="5">
        <v>210</v>
      </c>
    </row>
    <row r="92" spans="2:6" hidden="1" x14ac:dyDescent="0.3">
      <c r="B92" t="s">
        <v>8</v>
      </c>
      <c r="C92" t="s">
        <v>35</v>
      </c>
      <c r="D92" t="s">
        <v>22</v>
      </c>
      <c r="E92" s="4">
        <v>5012</v>
      </c>
      <c r="F92" s="5">
        <v>210</v>
      </c>
    </row>
    <row r="93" spans="2:6" hidden="1" x14ac:dyDescent="0.3">
      <c r="B93" t="s">
        <v>7</v>
      </c>
      <c r="C93" t="s">
        <v>37</v>
      </c>
      <c r="D93" t="s">
        <v>22</v>
      </c>
      <c r="E93" s="4">
        <v>9835</v>
      </c>
      <c r="F93" s="5">
        <v>207</v>
      </c>
    </row>
    <row r="94" spans="2:6" hidden="1" x14ac:dyDescent="0.3">
      <c r="B94" t="s">
        <v>6</v>
      </c>
      <c r="C94" t="s">
        <v>34</v>
      </c>
      <c r="D94" t="s">
        <v>27</v>
      </c>
      <c r="E94" s="4">
        <v>4242</v>
      </c>
      <c r="F94" s="5">
        <v>207</v>
      </c>
    </row>
    <row r="95" spans="2:6" hidden="1" x14ac:dyDescent="0.3">
      <c r="B95" t="s">
        <v>9</v>
      </c>
      <c r="C95" t="s">
        <v>37</v>
      </c>
      <c r="D95" t="s">
        <v>4</v>
      </c>
      <c r="E95" s="4">
        <v>259</v>
      </c>
      <c r="F95" s="5">
        <v>207</v>
      </c>
    </row>
    <row r="96" spans="2:6" x14ac:dyDescent="0.3">
      <c r="B96" t="s">
        <v>9</v>
      </c>
      <c r="C96" t="s">
        <v>36</v>
      </c>
      <c r="D96" t="s">
        <v>27</v>
      </c>
      <c r="E96" s="4">
        <v>11522</v>
      </c>
      <c r="F96" s="5">
        <v>204</v>
      </c>
    </row>
    <row r="97" spans="2:6" hidden="1" x14ac:dyDescent="0.3">
      <c r="B97" t="s">
        <v>10</v>
      </c>
      <c r="C97" t="s">
        <v>34</v>
      </c>
      <c r="D97" t="s">
        <v>19</v>
      </c>
      <c r="E97" s="4">
        <v>5355</v>
      </c>
      <c r="F97" s="5">
        <v>204</v>
      </c>
    </row>
    <row r="98" spans="2:6" hidden="1" x14ac:dyDescent="0.3">
      <c r="B98" t="s">
        <v>9</v>
      </c>
      <c r="C98" t="s">
        <v>39</v>
      </c>
      <c r="D98" t="s">
        <v>18</v>
      </c>
      <c r="E98" s="4">
        <v>2639</v>
      </c>
      <c r="F98" s="5">
        <v>204</v>
      </c>
    </row>
    <row r="99" spans="2:6" hidden="1" x14ac:dyDescent="0.3">
      <c r="B99" t="s">
        <v>8</v>
      </c>
      <c r="C99" t="s">
        <v>37</v>
      </c>
      <c r="D99" t="s">
        <v>19</v>
      </c>
      <c r="E99" s="4">
        <v>1771</v>
      </c>
      <c r="F99" s="5">
        <v>204</v>
      </c>
    </row>
    <row r="100" spans="2:6" hidden="1" x14ac:dyDescent="0.3">
      <c r="B100" t="s">
        <v>41</v>
      </c>
      <c r="C100" t="s">
        <v>36</v>
      </c>
      <c r="D100" t="s">
        <v>26</v>
      </c>
      <c r="E100" s="4">
        <v>98</v>
      </c>
      <c r="F100" s="5">
        <v>204</v>
      </c>
    </row>
    <row r="101" spans="2:6" x14ac:dyDescent="0.3">
      <c r="B101" t="s">
        <v>5</v>
      </c>
      <c r="C101" t="s">
        <v>35</v>
      </c>
      <c r="D101" t="s">
        <v>15</v>
      </c>
      <c r="E101" s="4">
        <v>13391</v>
      </c>
      <c r="F101" s="5">
        <v>201</v>
      </c>
    </row>
    <row r="102" spans="2:6" hidden="1" x14ac:dyDescent="0.3">
      <c r="B102" t="s">
        <v>2</v>
      </c>
      <c r="C102" t="s">
        <v>37</v>
      </c>
      <c r="D102" t="s">
        <v>17</v>
      </c>
      <c r="E102" s="4">
        <v>9926</v>
      </c>
      <c r="F102" s="5">
        <v>201</v>
      </c>
    </row>
    <row r="103" spans="2:6" hidden="1" x14ac:dyDescent="0.3">
      <c r="B103" t="s">
        <v>5</v>
      </c>
      <c r="C103" t="s">
        <v>34</v>
      </c>
      <c r="D103" t="s">
        <v>15</v>
      </c>
      <c r="E103" s="4">
        <v>7280</v>
      </c>
      <c r="F103" s="5">
        <v>201</v>
      </c>
    </row>
    <row r="104" spans="2:6" hidden="1" x14ac:dyDescent="0.3">
      <c r="B104" t="s">
        <v>40</v>
      </c>
      <c r="C104" t="s">
        <v>36</v>
      </c>
      <c r="D104" t="s">
        <v>13</v>
      </c>
      <c r="E104" s="4">
        <v>4424</v>
      </c>
      <c r="F104" s="5">
        <v>201</v>
      </c>
    </row>
    <row r="105" spans="2:6" hidden="1" x14ac:dyDescent="0.3">
      <c r="B105" t="s">
        <v>7</v>
      </c>
      <c r="C105" t="s">
        <v>39</v>
      </c>
      <c r="D105" t="s">
        <v>27</v>
      </c>
      <c r="E105" s="4">
        <v>966</v>
      </c>
      <c r="F105" s="5">
        <v>198</v>
      </c>
    </row>
    <row r="106" spans="2:6" hidden="1" x14ac:dyDescent="0.3">
      <c r="B106" t="s">
        <v>10</v>
      </c>
      <c r="C106" t="s">
        <v>35</v>
      </c>
      <c r="D106" t="s">
        <v>20</v>
      </c>
      <c r="E106" s="4">
        <v>1974</v>
      </c>
      <c r="F106" s="5">
        <v>195</v>
      </c>
    </row>
    <row r="107" spans="2:6" hidden="1" x14ac:dyDescent="0.3">
      <c r="B107" t="s">
        <v>8</v>
      </c>
      <c r="C107" t="s">
        <v>37</v>
      </c>
      <c r="D107" t="s">
        <v>22</v>
      </c>
      <c r="E107" s="4">
        <v>1890</v>
      </c>
      <c r="F107" s="5">
        <v>195</v>
      </c>
    </row>
    <row r="108" spans="2:6" hidden="1" x14ac:dyDescent="0.3">
      <c r="B108" t="s">
        <v>5</v>
      </c>
      <c r="C108" t="s">
        <v>34</v>
      </c>
      <c r="D108" t="s">
        <v>19</v>
      </c>
      <c r="E108" s="4">
        <v>861</v>
      </c>
      <c r="F108" s="5">
        <v>195</v>
      </c>
    </row>
    <row r="109" spans="2:6" hidden="1" x14ac:dyDescent="0.3">
      <c r="B109" t="s">
        <v>41</v>
      </c>
      <c r="C109" t="s">
        <v>36</v>
      </c>
      <c r="D109" t="s">
        <v>19</v>
      </c>
      <c r="E109" s="4">
        <v>1925</v>
      </c>
      <c r="F109" s="5">
        <v>192</v>
      </c>
    </row>
    <row r="110" spans="2:6" hidden="1" x14ac:dyDescent="0.3">
      <c r="B110" t="s">
        <v>7</v>
      </c>
      <c r="C110" t="s">
        <v>34</v>
      </c>
      <c r="D110" t="s">
        <v>24</v>
      </c>
      <c r="E110" s="4">
        <v>8862</v>
      </c>
      <c r="F110" s="5">
        <v>189</v>
      </c>
    </row>
    <row r="111" spans="2:6" hidden="1" x14ac:dyDescent="0.3">
      <c r="B111" t="s">
        <v>6</v>
      </c>
      <c r="C111" t="s">
        <v>37</v>
      </c>
      <c r="D111" t="s">
        <v>23</v>
      </c>
      <c r="E111" s="4">
        <v>4949</v>
      </c>
      <c r="F111" s="5">
        <v>189</v>
      </c>
    </row>
    <row r="112" spans="2:6" hidden="1" x14ac:dyDescent="0.3">
      <c r="B112" t="s">
        <v>9</v>
      </c>
      <c r="C112" t="s">
        <v>36</v>
      </c>
      <c r="D112" t="s">
        <v>32</v>
      </c>
      <c r="E112" s="4">
        <v>2954</v>
      </c>
      <c r="F112" s="5">
        <v>189</v>
      </c>
    </row>
    <row r="113" spans="2:6" hidden="1" x14ac:dyDescent="0.3">
      <c r="B113" t="s">
        <v>9</v>
      </c>
      <c r="C113" t="s">
        <v>34</v>
      </c>
      <c r="D113" t="s">
        <v>16</v>
      </c>
      <c r="E113" s="4">
        <v>938</v>
      </c>
      <c r="F113" s="5">
        <v>189</v>
      </c>
    </row>
    <row r="114" spans="2:6" hidden="1" x14ac:dyDescent="0.3">
      <c r="B114" t="s">
        <v>41</v>
      </c>
      <c r="C114" t="s">
        <v>35</v>
      </c>
      <c r="D114" t="s">
        <v>15</v>
      </c>
      <c r="E114" s="4">
        <v>2114</v>
      </c>
      <c r="F114" s="5">
        <v>186</v>
      </c>
    </row>
    <row r="115" spans="2:6" hidden="1" x14ac:dyDescent="0.3">
      <c r="B115" t="s">
        <v>8</v>
      </c>
      <c r="C115" t="s">
        <v>39</v>
      </c>
      <c r="D115" t="s">
        <v>30</v>
      </c>
      <c r="E115" s="4">
        <v>7021</v>
      </c>
      <c r="F115" s="5">
        <v>183</v>
      </c>
    </row>
    <row r="116" spans="2:6" hidden="1" x14ac:dyDescent="0.3">
      <c r="B116" t="s">
        <v>2</v>
      </c>
      <c r="C116" t="s">
        <v>38</v>
      </c>
      <c r="D116" t="s">
        <v>28</v>
      </c>
      <c r="E116" s="4">
        <v>6580</v>
      </c>
      <c r="F116" s="5">
        <v>183</v>
      </c>
    </row>
    <row r="117" spans="2:6" hidden="1" x14ac:dyDescent="0.3">
      <c r="B117" t="s">
        <v>6</v>
      </c>
      <c r="C117" t="s">
        <v>35</v>
      </c>
      <c r="D117" t="s">
        <v>27</v>
      </c>
      <c r="E117" s="4">
        <v>3864</v>
      </c>
      <c r="F117" s="5">
        <v>177</v>
      </c>
    </row>
    <row r="118" spans="2:6" hidden="1" x14ac:dyDescent="0.3">
      <c r="B118" t="s">
        <v>7</v>
      </c>
      <c r="C118" t="s">
        <v>36</v>
      </c>
      <c r="D118" t="s">
        <v>18</v>
      </c>
      <c r="E118" s="4">
        <v>2646</v>
      </c>
      <c r="F118" s="5">
        <v>177</v>
      </c>
    </row>
    <row r="119" spans="2:6" hidden="1" x14ac:dyDescent="0.3">
      <c r="B119" t="s">
        <v>41</v>
      </c>
      <c r="C119" t="s">
        <v>37</v>
      </c>
      <c r="D119" t="s">
        <v>26</v>
      </c>
      <c r="E119" s="4">
        <v>2324</v>
      </c>
      <c r="F119" s="5">
        <v>177</v>
      </c>
    </row>
    <row r="120" spans="2:6" hidden="1" x14ac:dyDescent="0.3">
      <c r="B120" t="s">
        <v>41</v>
      </c>
      <c r="C120" t="s">
        <v>34</v>
      </c>
      <c r="D120" t="s">
        <v>33</v>
      </c>
      <c r="E120" s="4">
        <v>7847</v>
      </c>
      <c r="F120" s="5">
        <v>174</v>
      </c>
    </row>
    <row r="121" spans="2:6" hidden="1" x14ac:dyDescent="0.3">
      <c r="B121" t="s">
        <v>41</v>
      </c>
      <c r="C121" t="s">
        <v>36</v>
      </c>
      <c r="D121" t="s">
        <v>30</v>
      </c>
      <c r="E121" s="4">
        <v>6118</v>
      </c>
      <c r="F121" s="5">
        <v>174</v>
      </c>
    </row>
    <row r="122" spans="2:6" hidden="1" x14ac:dyDescent="0.3">
      <c r="B122" t="s">
        <v>40</v>
      </c>
      <c r="C122" t="s">
        <v>35</v>
      </c>
      <c r="D122" t="s">
        <v>16</v>
      </c>
      <c r="E122" s="4">
        <v>4725</v>
      </c>
      <c r="F122" s="5">
        <v>174</v>
      </c>
    </row>
    <row r="123" spans="2:6" hidden="1" x14ac:dyDescent="0.3">
      <c r="B123" t="s">
        <v>9</v>
      </c>
      <c r="C123" t="s">
        <v>34</v>
      </c>
      <c r="D123" t="s">
        <v>17</v>
      </c>
      <c r="E123" s="4">
        <v>707</v>
      </c>
      <c r="F123" s="5">
        <v>174</v>
      </c>
    </row>
    <row r="124" spans="2:6" hidden="1" x14ac:dyDescent="0.3">
      <c r="B124" t="s">
        <v>3</v>
      </c>
      <c r="C124" t="s">
        <v>39</v>
      </c>
      <c r="D124" t="s">
        <v>26</v>
      </c>
      <c r="E124" s="4">
        <v>4956</v>
      </c>
      <c r="F124" s="5">
        <v>171</v>
      </c>
    </row>
    <row r="125" spans="2:6" hidden="1" x14ac:dyDescent="0.3">
      <c r="B125" t="s">
        <v>5</v>
      </c>
      <c r="C125" t="s">
        <v>39</v>
      </c>
      <c r="D125" t="s">
        <v>24</v>
      </c>
      <c r="E125" s="4">
        <v>4018</v>
      </c>
      <c r="F125" s="5">
        <v>171</v>
      </c>
    </row>
    <row r="126" spans="2:6" hidden="1" x14ac:dyDescent="0.3">
      <c r="B126" t="s">
        <v>5</v>
      </c>
      <c r="C126" t="s">
        <v>38</v>
      </c>
      <c r="D126" t="s">
        <v>19</v>
      </c>
      <c r="E126" s="4">
        <v>5474</v>
      </c>
      <c r="F126" s="5">
        <v>168</v>
      </c>
    </row>
    <row r="127" spans="2:6" hidden="1" x14ac:dyDescent="0.3">
      <c r="B127" t="s">
        <v>8</v>
      </c>
      <c r="C127" t="s">
        <v>35</v>
      </c>
      <c r="D127" t="s">
        <v>29</v>
      </c>
      <c r="E127" s="4">
        <v>2023</v>
      </c>
      <c r="F127" s="5">
        <v>168</v>
      </c>
    </row>
    <row r="128" spans="2:6" hidden="1" x14ac:dyDescent="0.3">
      <c r="B128" t="s">
        <v>3</v>
      </c>
      <c r="C128" t="s">
        <v>39</v>
      </c>
      <c r="D128" t="s">
        <v>16</v>
      </c>
      <c r="E128" s="4">
        <v>21</v>
      </c>
      <c r="F128" s="5">
        <v>168</v>
      </c>
    </row>
    <row r="129" spans="2:6" hidden="1" x14ac:dyDescent="0.3">
      <c r="B129" t="s">
        <v>3</v>
      </c>
      <c r="C129" t="s">
        <v>36</v>
      </c>
      <c r="D129" t="s">
        <v>23</v>
      </c>
      <c r="E129" s="4">
        <v>3773</v>
      </c>
      <c r="F129" s="5">
        <v>165</v>
      </c>
    </row>
    <row r="130" spans="2:6" hidden="1" x14ac:dyDescent="0.3">
      <c r="B130" t="s">
        <v>2</v>
      </c>
      <c r="C130" t="s">
        <v>39</v>
      </c>
      <c r="D130" t="s">
        <v>20</v>
      </c>
      <c r="E130" s="4">
        <v>9443</v>
      </c>
      <c r="F130" s="5">
        <v>162</v>
      </c>
    </row>
    <row r="131" spans="2:6" hidden="1" x14ac:dyDescent="0.3">
      <c r="B131" t="s">
        <v>40</v>
      </c>
      <c r="C131" t="s">
        <v>34</v>
      </c>
      <c r="D131" t="s">
        <v>19</v>
      </c>
      <c r="E131" s="4">
        <v>4018</v>
      </c>
      <c r="F131" s="5">
        <v>162</v>
      </c>
    </row>
    <row r="132" spans="2:6" hidden="1" x14ac:dyDescent="0.3">
      <c r="B132" t="s">
        <v>3</v>
      </c>
      <c r="C132" t="s">
        <v>36</v>
      </c>
      <c r="D132" t="s">
        <v>28</v>
      </c>
      <c r="E132" s="4">
        <v>973</v>
      </c>
      <c r="F132" s="5">
        <v>162</v>
      </c>
    </row>
    <row r="133" spans="2:6" hidden="1" x14ac:dyDescent="0.3">
      <c r="B133" t="s">
        <v>40</v>
      </c>
      <c r="C133" t="s">
        <v>34</v>
      </c>
      <c r="D133" t="s">
        <v>33</v>
      </c>
      <c r="E133" s="4">
        <v>3794</v>
      </c>
      <c r="F133" s="5">
        <v>159</v>
      </c>
    </row>
    <row r="134" spans="2:6" hidden="1" x14ac:dyDescent="0.3">
      <c r="B134" t="s">
        <v>9</v>
      </c>
      <c r="C134" t="s">
        <v>35</v>
      </c>
      <c r="D134" t="s">
        <v>26</v>
      </c>
      <c r="E134" s="4">
        <v>98</v>
      </c>
      <c r="F134" s="5">
        <v>159</v>
      </c>
    </row>
    <row r="135" spans="2:6" hidden="1" x14ac:dyDescent="0.3">
      <c r="B135" t="s">
        <v>40</v>
      </c>
      <c r="C135" t="s">
        <v>34</v>
      </c>
      <c r="D135" t="s">
        <v>17</v>
      </c>
      <c r="E135" s="4">
        <v>5019</v>
      </c>
      <c r="F135" s="5">
        <v>156</v>
      </c>
    </row>
    <row r="136" spans="2:6" hidden="1" x14ac:dyDescent="0.3">
      <c r="B136" t="s">
        <v>6</v>
      </c>
      <c r="C136" t="s">
        <v>36</v>
      </c>
      <c r="D136" t="s">
        <v>17</v>
      </c>
      <c r="E136" s="4">
        <v>4970</v>
      </c>
      <c r="F136" s="5">
        <v>156</v>
      </c>
    </row>
    <row r="137" spans="2:6" hidden="1" x14ac:dyDescent="0.3">
      <c r="B137" t="s">
        <v>9</v>
      </c>
      <c r="C137" t="s">
        <v>37</v>
      </c>
      <c r="D137" t="s">
        <v>25</v>
      </c>
      <c r="E137" s="4">
        <v>4305</v>
      </c>
      <c r="F137" s="5">
        <v>156</v>
      </c>
    </row>
    <row r="138" spans="2:6" hidden="1" x14ac:dyDescent="0.3">
      <c r="B138" t="s">
        <v>2</v>
      </c>
      <c r="C138" t="s">
        <v>38</v>
      </c>
      <c r="D138" t="s">
        <v>23</v>
      </c>
      <c r="E138" s="4">
        <v>4417</v>
      </c>
      <c r="F138" s="5">
        <v>153</v>
      </c>
    </row>
    <row r="139" spans="2:6" x14ac:dyDescent="0.3">
      <c r="B139" t="s">
        <v>9</v>
      </c>
      <c r="C139" t="s">
        <v>34</v>
      </c>
      <c r="D139" t="s">
        <v>28</v>
      </c>
      <c r="E139" s="4">
        <v>14329</v>
      </c>
      <c r="F139" s="5">
        <v>150</v>
      </c>
    </row>
    <row r="140" spans="2:6" hidden="1" x14ac:dyDescent="0.3">
      <c r="B140" t="s">
        <v>8</v>
      </c>
      <c r="C140" t="s">
        <v>36</v>
      </c>
      <c r="D140" t="s">
        <v>23</v>
      </c>
      <c r="E140" s="4">
        <v>5019</v>
      </c>
      <c r="F140" s="5">
        <v>150</v>
      </c>
    </row>
    <row r="141" spans="2:6" hidden="1" x14ac:dyDescent="0.3">
      <c r="B141" t="s">
        <v>6</v>
      </c>
      <c r="C141" t="s">
        <v>34</v>
      </c>
      <c r="D141" t="s">
        <v>17</v>
      </c>
      <c r="E141" s="4">
        <v>3759</v>
      </c>
      <c r="F141" s="5">
        <v>150</v>
      </c>
    </row>
    <row r="142" spans="2:6" hidden="1" x14ac:dyDescent="0.3">
      <c r="B142" t="s">
        <v>8</v>
      </c>
      <c r="C142" t="s">
        <v>37</v>
      </c>
      <c r="D142" t="s">
        <v>30</v>
      </c>
      <c r="E142" s="4">
        <v>42</v>
      </c>
      <c r="F142" s="5">
        <v>150</v>
      </c>
    </row>
    <row r="143" spans="2:6" hidden="1" x14ac:dyDescent="0.3">
      <c r="B143" t="s">
        <v>9</v>
      </c>
      <c r="C143" t="s">
        <v>35</v>
      </c>
      <c r="D143" t="s">
        <v>4</v>
      </c>
      <c r="E143" s="4">
        <v>959</v>
      </c>
      <c r="F143" s="5">
        <v>147</v>
      </c>
    </row>
    <row r="144" spans="2:6" hidden="1" x14ac:dyDescent="0.3">
      <c r="B144" t="s">
        <v>2</v>
      </c>
      <c r="C144" t="s">
        <v>39</v>
      </c>
      <c r="D144" t="s">
        <v>28</v>
      </c>
      <c r="E144" s="4">
        <v>6027</v>
      </c>
      <c r="F144" s="5">
        <v>144</v>
      </c>
    </row>
    <row r="145" spans="2:6" hidden="1" x14ac:dyDescent="0.3">
      <c r="B145" t="s">
        <v>3</v>
      </c>
      <c r="C145" t="s">
        <v>37</v>
      </c>
      <c r="D145" t="s">
        <v>17</v>
      </c>
      <c r="E145" s="4">
        <v>3983</v>
      </c>
      <c r="F145" s="5">
        <v>144</v>
      </c>
    </row>
    <row r="146" spans="2:6" hidden="1" x14ac:dyDescent="0.3">
      <c r="B146" t="s">
        <v>9</v>
      </c>
      <c r="C146" t="s">
        <v>35</v>
      </c>
      <c r="D146" t="s">
        <v>27</v>
      </c>
      <c r="E146" s="4">
        <v>2429</v>
      </c>
      <c r="F146" s="5">
        <v>144</v>
      </c>
    </row>
    <row r="147" spans="2:6" hidden="1" x14ac:dyDescent="0.3">
      <c r="B147" t="s">
        <v>41</v>
      </c>
      <c r="C147" t="s">
        <v>34</v>
      </c>
      <c r="D147" t="s">
        <v>22</v>
      </c>
      <c r="E147" s="4">
        <v>336</v>
      </c>
      <c r="F147" s="5">
        <v>144</v>
      </c>
    </row>
    <row r="148" spans="2:6" hidden="1" x14ac:dyDescent="0.3">
      <c r="B148" t="s">
        <v>10</v>
      </c>
      <c r="C148" t="s">
        <v>38</v>
      </c>
      <c r="D148" t="s">
        <v>22</v>
      </c>
      <c r="E148" s="4">
        <v>2205</v>
      </c>
      <c r="F148" s="5">
        <v>141</v>
      </c>
    </row>
    <row r="149" spans="2:6" hidden="1" x14ac:dyDescent="0.3">
      <c r="B149" t="s">
        <v>2</v>
      </c>
      <c r="C149" t="s">
        <v>39</v>
      </c>
      <c r="D149" t="s">
        <v>22</v>
      </c>
      <c r="E149" s="4">
        <v>1568</v>
      </c>
      <c r="F149" s="5">
        <v>141</v>
      </c>
    </row>
    <row r="150" spans="2:6" x14ac:dyDescent="0.3">
      <c r="B150" t="s">
        <v>2</v>
      </c>
      <c r="C150" t="s">
        <v>37</v>
      </c>
      <c r="D150" t="s">
        <v>18</v>
      </c>
      <c r="E150" s="4">
        <v>11571</v>
      </c>
      <c r="F150" s="5">
        <v>138</v>
      </c>
    </row>
    <row r="151" spans="2:6" hidden="1" x14ac:dyDescent="0.3">
      <c r="B151" t="s">
        <v>7</v>
      </c>
      <c r="C151" t="s">
        <v>34</v>
      </c>
      <c r="D151" t="s">
        <v>20</v>
      </c>
      <c r="E151" s="4">
        <v>2205</v>
      </c>
      <c r="F151" s="5">
        <v>138</v>
      </c>
    </row>
    <row r="152" spans="2:6" hidden="1" x14ac:dyDescent="0.3">
      <c r="B152" t="s">
        <v>40</v>
      </c>
      <c r="C152" t="s">
        <v>34</v>
      </c>
      <c r="D152" t="s">
        <v>27</v>
      </c>
      <c r="E152" s="4">
        <v>2289</v>
      </c>
      <c r="F152" s="5">
        <v>135</v>
      </c>
    </row>
    <row r="153" spans="2:6" hidden="1" x14ac:dyDescent="0.3">
      <c r="B153" t="s">
        <v>6</v>
      </c>
      <c r="C153" t="s">
        <v>36</v>
      </c>
      <c r="D153" t="s">
        <v>29</v>
      </c>
      <c r="E153" s="4">
        <v>1400</v>
      </c>
      <c r="F153" s="5">
        <v>135</v>
      </c>
    </row>
    <row r="154" spans="2:6" hidden="1" x14ac:dyDescent="0.3">
      <c r="B154" t="s">
        <v>6</v>
      </c>
      <c r="C154" t="s">
        <v>38</v>
      </c>
      <c r="D154" t="s">
        <v>33</v>
      </c>
      <c r="E154" s="4">
        <v>959</v>
      </c>
      <c r="F154" s="5">
        <v>135</v>
      </c>
    </row>
    <row r="155" spans="2:6" hidden="1" x14ac:dyDescent="0.3">
      <c r="B155" t="s">
        <v>40</v>
      </c>
      <c r="C155" t="s">
        <v>39</v>
      </c>
      <c r="D155" t="s">
        <v>29</v>
      </c>
      <c r="E155" s="4">
        <v>0</v>
      </c>
      <c r="F155" s="5">
        <v>135</v>
      </c>
    </row>
    <row r="156" spans="2:6" hidden="1" x14ac:dyDescent="0.3">
      <c r="B156" t="s">
        <v>41</v>
      </c>
      <c r="C156" t="s">
        <v>35</v>
      </c>
      <c r="D156" t="s">
        <v>27</v>
      </c>
      <c r="E156" s="4">
        <v>847</v>
      </c>
      <c r="F156" s="5">
        <v>129</v>
      </c>
    </row>
    <row r="157" spans="2:6" hidden="1" x14ac:dyDescent="0.3">
      <c r="B157" t="s">
        <v>10</v>
      </c>
      <c r="C157" t="s">
        <v>38</v>
      </c>
      <c r="D157" t="s">
        <v>4</v>
      </c>
      <c r="E157" s="4">
        <v>6860</v>
      </c>
      <c r="F157" s="5">
        <v>126</v>
      </c>
    </row>
    <row r="158" spans="2:6" hidden="1" x14ac:dyDescent="0.3">
      <c r="B158" t="s">
        <v>41</v>
      </c>
      <c r="C158" t="s">
        <v>34</v>
      </c>
      <c r="D158" t="s">
        <v>23</v>
      </c>
      <c r="E158" s="4">
        <v>4935</v>
      </c>
      <c r="F158" s="5">
        <v>126</v>
      </c>
    </row>
    <row r="159" spans="2:6" hidden="1" x14ac:dyDescent="0.3">
      <c r="B159" t="s">
        <v>2</v>
      </c>
      <c r="C159" t="s">
        <v>39</v>
      </c>
      <c r="D159" t="s">
        <v>33</v>
      </c>
      <c r="E159" s="4">
        <v>4018</v>
      </c>
      <c r="F159" s="5">
        <v>126</v>
      </c>
    </row>
    <row r="160" spans="2:6" hidden="1" x14ac:dyDescent="0.3">
      <c r="B160" t="s">
        <v>40</v>
      </c>
      <c r="C160" t="s">
        <v>35</v>
      </c>
      <c r="D160" t="s">
        <v>29</v>
      </c>
      <c r="E160" s="4">
        <v>1617</v>
      </c>
      <c r="F160" s="5">
        <v>126</v>
      </c>
    </row>
    <row r="161" spans="2:6" hidden="1" x14ac:dyDescent="0.3">
      <c r="B161" t="s">
        <v>8</v>
      </c>
      <c r="C161" t="s">
        <v>35</v>
      </c>
      <c r="D161" t="s">
        <v>33</v>
      </c>
      <c r="E161" s="4">
        <v>357</v>
      </c>
      <c r="F161" s="5">
        <v>126</v>
      </c>
    </row>
    <row r="162" spans="2:6" hidden="1" x14ac:dyDescent="0.3">
      <c r="B162" t="s">
        <v>6</v>
      </c>
      <c r="C162" t="s">
        <v>34</v>
      </c>
      <c r="D162" t="s">
        <v>32</v>
      </c>
      <c r="E162" s="4">
        <v>6734</v>
      </c>
      <c r="F162" s="5">
        <v>123</v>
      </c>
    </row>
    <row r="163" spans="2:6" hidden="1" x14ac:dyDescent="0.3">
      <c r="B163" t="s">
        <v>6</v>
      </c>
      <c r="C163" t="s">
        <v>35</v>
      </c>
      <c r="D163" t="s">
        <v>30</v>
      </c>
      <c r="E163" s="4">
        <v>4781</v>
      </c>
      <c r="F163" s="5">
        <v>123</v>
      </c>
    </row>
    <row r="164" spans="2:6" hidden="1" x14ac:dyDescent="0.3">
      <c r="B164" t="s">
        <v>41</v>
      </c>
      <c r="C164" t="s">
        <v>37</v>
      </c>
      <c r="D164" t="s">
        <v>20</v>
      </c>
      <c r="E164" s="4">
        <v>3388</v>
      </c>
      <c r="F164" s="5">
        <v>123</v>
      </c>
    </row>
    <row r="165" spans="2:6" hidden="1" x14ac:dyDescent="0.3">
      <c r="B165" t="s">
        <v>6</v>
      </c>
      <c r="C165" t="s">
        <v>38</v>
      </c>
      <c r="D165" t="s">
        <v>13</v>
      </c>
      <c r="E165" s="4">
        <v>2317</v>
      </c>
      <c r="F165" s="5">
        <v>123</v>
      </c>
    </row>
    <row r="166" spans="2:6" hidden="1" x14ac:dyDescent="0.3">
      <c r="B166" t="s">
        <v>10</v>
      </c>
      <c r="C166" t="s">
        <v>38</v>
      </c>
      <c r="D166" t="s">
        <v>13</v>
      </c>
      <c r="E166" s="4">
        <v>63</v>
      </c>
      <c r="F166" s="5">
        <v>123</v>
      </c>
    </row>
    <row r="167" spans="2:6" hidden="1" x14ac:dyDescent="0.3">
      <c r="B167" t="s">
        <v>6</v>
      </c>
      <c r="C167" t="s">
        <v>36</v>
      </c>
      <c r="D167" t="s">
        <v>4</v>
      </c>
      <c r="E167" s="4">
        <v>10073</v>
      </c>
      <c r="F167" s="5">
        <v>120</v>
      </c>
    </row>
    <row r="168" spans="2:6" hidden="1" x14ac:dyDescent="0.3">
      <c r="B168" t="s">
        <v>2</v>
      </c>
      <c r="C168" t="s">
        <v>34</v>
      </c>
      <c r="D168" t="s">
        <v>19</v>
      </c>
      <c r="E168" s="4">
        <v>7511</v>
      </c>
      <c r="F168" s="5">
        <v>120</v>
      </c>
    </row>
    <row r="169" spans="2:6" hidden="1" x14ac:dyDescent="0.3">
      <c r="B169" t="s">
        <v>9</v>
      </c>
      <c r="C169" t="s">
        <v>38</v>
      </c>
      <c r="D169" t="s">
        <v>16</v>
      </c>
      <c r="E169" s="4">
        <v>2646</v>
      </c>
      <c r="F169" s="5">
        <v>120</v>
      </c>
    </row>
    <row r="170" spans="2:6" hidden="1" x14ac:dyDescent="0.3">
      <c r="B170" t="s">
        <v>3</v>
      </c>
      <c r="C170" t="s">
        <v>34</v>
      </c>
      <c r="D170" t="s">
        <v>23</v>
      </c>
      <c r="E170" s="4">
        <v>2212</v>
      </c>
      <c r="F170" s="5">
        <v>117</v>
      </c>
    </row>
    <row r="171" spans="2:6" hidden="1" x14ac:dyDescent="0.3">
      <c r="B171" t="s">
        <v>7</v>
      </c>
      <c r="C171" t="s">
        <v>36</v>
      </c>
      <c r="D171" t="s">
        <v>31</v>
      </c>
      <c r="E171" s="4">
        <v>2149</v>
      </c>
      <c r="F171" s="5">
        <v>117</v>
      </c>
    </row>
    <row r="172" spans="2:6" hidden="1" x14ac:dyDescent="0.3">
      <c r="B172" t="s">
        <v>2</v>
      </c>
      <c r="C172" t="s">
        <v>39</v>
      </c>
      <c r="D172" t="s">
        <v>16</v>
      </c>
      <c r="E172" s="4">
        <v>2016</v>
      </c>
      <c r="F172" s="5">
        <v>117</v>
      </c>
    </row>
    <row r="173" spans="2:6" hidden="1" x14ac:dyDescent="0.3">
      <c r="B173" t="s">
        <v>7</v>
      </c>
      <c r="C173" t="s">
        <v>35</v>
      </c>
      <c r="D173" t="s">
        <v>24</v>
      </c>
      <c r="E173" s="4">
        <v>2793</v>
      </c>
      <c r="F173" s="5">
        <v>114</v>
      </c>
    </row>
    <row r="174" spans="2:6" hidden="1" x14ac:dyDescent="0.3">
      <c r="B174" t="s">
        <v>9</v>
      </c>
      <c r="C174" t="s">
        <v>36</v>
      </c>
      <c r="D174" t="s">
        <v>25</v>
      </c>
      <c r="E174" s="4">
        <v>2142</v>
      </c>
      <c r="F174" s="5">
        <v>114</v>
      </c>
    </row>
    <row r="175" spans="2:6" hidden="1" x14ac:dyDescent="0.3">
      <c r="B175" t="s">
        <v>40</v>
      </c>
      <c r="C175" t="s">
        <v>37</v>
      </c>
      <c r="D175" t="s">
        <v>30</v>
      </c>
      <c r="E175" s="4">
        <v>1624</v>
      </c>
      <c r="F175" s="5">
        <v>114</v>
      </c>
    </row>
    <row r="176" spans="2:6" hidden="1" x14ac:dyDescent="0.3">
      <c r="B176" t="s">
        <v>7</v>
      </c>
      <c r="C176" t="s">
        <v>37</v>
      </c>
      <c r="D176" t="s">
        <v>17</v>
      </c>
      <c r="E176" s="4">
        <v>4487</v>
      </c>
      <c r="F176" s="5">
        <v>111</v>
      </c>
    </row>
    <row r="177" spans="2:6" hidden="1" x14ac:dyDescent="0.3">
      <c r="B177" t="s">
        <v>5</v>
      </c>
      <c r="C177" t="s">
        <v>36</v>
      </c>
      <c r="D177" t="s">
        <v>30</v>
      </c>
      <c r="E177" s="4">
        <v>1526</v>
      </c>
      <c r="F177" s="5">
        <v>105</v>
      </c>
    </row>
    <row r="178" spans="2:6" hidden="1" x14ac:dyDescent="0.3">
      <c r="B178" t="s">
        <v>41</v>
      </c>
      <c r="C178" t="s">
        <v>37</v>
      </c>
      <c r="D178" t="s">
        <v>24</v>
      </c>
      <c r="E178" s="4">
        <v>6398</v>
      </c>
      <c r="F178" s="5">
        <v>102</v>
      </c>
    </row>
    <row r="179" spans="2:6" hidden="1" x14ac:dyDescent="0.3">
      <c r="B179" t="s">
        <v>40</v>
      </c>
      <c r="C179" t="s">
        <v>38</v>
      </c>
      <c r="D179" t="s">
        <v>4</v>
      </c>
      <c r="E179" s="4">
        <v>6125</v>
      </c>
      <c r="F179" s="5">
        <v>102</v>
      </c>
    </row>
    <row r="180" spans="2:6" hidden="1" x14ac:dyDescent="0.3">
      <c r="B180" t="s">
        <v>9</v>
      </c>
      <c r="C180" t="s">
        <v>38</v>
      </c>
      <c r="D180" t="s">
        <v>25</v>
      </c>
      <c r="E180" s="4">
        <v>3850</v>
      </c>
      <c r="F180" s="5">
        <v>102</v>
      </c>
    </row>
    <row r="181" spans="2:6" hidden="1" x14ac:dyDescent="0.3">
      <c r="B181" t="s">
        <v>5</v>
      </c>
      <c r="C181" t="s">
        <v>34</v>
      </c>
      <c r="D181" t="s">
        <v>29</v>
      </c>
      <c r="E181" s="4">
        <v>2891</v>
      </c>
      <c r="F181" s="5">
        <v>102</v>
      </c>
    </row>
    <row r="182" spans="2:6" hidden="1" x14ac:dyDescent="0.3">
      <c r="B182" t="s">
        <v>3</v>
      </c>
      <c r="C182" t="s">
        <v>39</v>
      </c>
      <c r="D182" t="s">
        <v>28</v>
      </c>
      <c r="E182" s="4">
        <v>1652</v>
      </c>
      <c r="F182" s="5">
        <v>102</v>
      </c>
    </row>
    <row r="183" spans="2:6" hidden="1" x14ac:dyDescent="0.3">
      <c r="B183" t="s">
        <v>6</v>
      </c>
      <c r="C183" t="s">
        <v>37</v>
      </c>
      <c r="D183" t="s">
        <v>18</v>
      </c>
      <c r="E183" s="4">
        <v>1505</v>
      </c>
      <c r="F183" s="5">
        <v>102</v>
      </c>
    </row>
    <row r="184" spans="2:6" hidden="1" x14ac:dyDescent="0.3">
      <c r="B184" t="s">
        <v>9</v>
      </c>
      <c r="C184" t="s">
        <v>38</v>
      </c>
      <c r="D184" t="s">
        <v>26</v>
      </c>
      <c r="E184" s="4">
        <v>2436</v>
      </c>
      <c r="F184" s="5">
        <v>99</v>
      </c>
    </row>
    <row r="185" spans="2:6" hidden="1" x14ac:dyDescent="0.3">
      <c r="B185" t="s">
        <v>41</v>
      </c>
      <c r="C185" t="s">
        <v>35</v>
      </c>
      <c r="D185" t="s">
        <v>19</v>
      </c>
      <c r="E185" s="4">
        <v>609</v>
      </c>
      <c r="F185" s="5">
        <v>99</v>
      </c>
    </row>
    <row r="186" spans="2:6" hidden="1" x14ac:dyDescent="0.3">
      <c r="B186" t="s">
        <v>9</v>
      </c>
      <c r="C186" t="s">
        <v>37</v>
      </c>
      <c r="D186" t="s">
        <v>20</v>
      </c>
      <c r="E186" s="4">
        <v>7273</v>
      </c>
      <c r="F186" s="5">
        <v>96</v>
      </c>
    </row>
    <row r="187" spans="2:6" hidden="1" x14ac:dyDescent="0.3">
      <c r="B187" t="s">
        <v>10</v>
      </c>
      <c r="C187" t="s">
        <v>35</v>
      </c>
      <c r="D187" t="s">
        <v>14</v>
      </c>
      <c r="E187" s="4">
        <v>3472</v>
      </c>
      <c r="F187" s="5">
        <v>96</v>
      </c>
    </row>
    <row r="188" spans="2:6" hidden="1" x14ac:dyDescent="0.3">
      <c r="B188" t="s">
        <v>7</v>
      </c>
      <c r="C188" t="s">
        <v>34</v>
      </c>
      <c r="D188" t="s">
        <v>25</v>
      </c>
      <c r="E188" s="4">
        <v>1568</v>
      </c>
      <c r="F188" s="5">
        <v>96</v>
      </c>
    </row>
    <row r="189" spans="2:6" hidden="1" x14ac:dyDescent="0.3">
      <c r="B189" t="s">
        <v>40</v>
      </c>
      <c r="C189" t="s">
        <v>37</v>
      </c>
      <c r="D189" t="s">
        <v>27</v>
      </c>
      <c r="E189" s="4">
        <v>6132</v>
      </c>
      <c r="F189" s="5">
        <v>93</v>
      </c>
    </row>
    <row r="190" spans="2:6" hidden="1" x14ac:dyDescent="0.3">
      <c r="B190" t="s">
        <v>3</v>
      </c>
      <c r="C190" t="s">
        <v>34</v>
      </c>
      <c r="D190" t="s">
        <v>17</v>
      </c>
      <c r="E190" s="4">
        <v>2919</v>
      </c>
      <c r="F190" s="5">
        <v>93</v>
      </c>
    </row>
    <row r="191" spans="2:6" hidden="1" x14ac:dyDescent="0.3">
      <c r="B191" t="s">
        <v>9</v>
      </c>
      <c r="C191" t="s">
        <v>37</v>
      </c>
      <c r="D191" t="s">
        <v>23</v>
      </c>
      <c r="E191" s="4">
        <v>2737</v>
      </c>
      <c r="F191" s="5">
        <v>93</v>
      </c>
    </row>
    <row r="192" spans="2:6" hidden="1" x14ac:dyDescent="0.3">
      <c r="B192" t="s">
        <v>5</v>
      </c>
      <c r="C192" t="s">
        <v>34</v>
      </c>
      <c r="D192" t="s">
        <v>33</v>
      </c>
      <c r="E192" s="4">
        <v>1652</v>
      </c>
      <c r="F192" s="5">
        <v>93</v>
      </c>
    </row>
    <row r="193" spans="2:6" hidden="1" x14ac:dyDescent="0.3">
      <c r="B193" t="s">
        <v>10</v>
      </c>
      <c r="C193" t="s">
        <v>34</v>
      </c>
      <c r="D193" t="s">
        <v>25</v>
      </c>
      <c r="E193" s="4">
        <v>1428</v>
      </c>
      <c r="F193" s="5">
        <v>93</v>
      </c>
    </row>
    <row r="194" spans="2:6" hidden="1" x14ac:dyDescent="0.3">
      <c r="B194" t="s">
        <v>40</v>
      </c>
      <c r="C194" t="s">
        <v>36</v>
      </c>
      <c r="D194" t="s">
        <v>33</v>
      </c>
      <c r="E194" s="4">
        <v>9772</v>
      </c>
      <c r="F194" s="5">
        <v>90</v>
      </c>
    </row>
    <row r="195" spans="2:6" hidden="1" x14ac:dyDescent="0.3">
      <c r="B195" t="s">
        <v>9</v>
      </c>
      <c r="C195" t="s">
        <v>34</v>
      </c>
      <c r="D195" t="s">
        <v>23</v>
      </c>
      <c r="E195" s="4">
        <v>8155</v>
      </c>
      <c r="F195" s="5">
        <v>90</v>
      </c>
    </row>
    <row r="196" spans="2:6" hidden="1" x14ac:dyDescent="0.3">
      <c r="B196" t="s">
        <v>40</v>
      </c>
      <c r="C196" t="s">
        <v>38</v>
      </c>
      <c r="D196" t="s">
        <v>25</v>
      </c>
      <c r="E196" s="4">
        <v>2541</v>
      </c>
      <c r="F196" s="5">
        <v>90</v>
      </c>
    </row>
    <row r="197" spans="2:6" hidden="1" x14ac:dyDescent="0.3">
      <c r="B197" t="s">
        <v>9</v>
      </c>
      <c r="C197" t="s">
        <v>38</v>
      </c>
      <c r="D197" t="s">
        <v>33</v>
      </c>
      <c r="E197" s="4">
        <v>9506</v>
      </c>
      <c r="F197" s="5">
        <v>87</v>
      </c>
    </row>
    <row r="198" spans="2:6" hidden="1" x14ac:dyDescent="0.3">
      <c r="B198" t="s">
        <v>6</v>
      </c>
      <c r="C198" t="s">
        <v>37</v>
      </c>
      <c r="D198" t="s">
        <v>31</v>
      </c>
      <c r="E198" s="4">
        <v>7693</v>
      </c>
      <c r="F198" s="5">
        <v>87</v>
      </c>
    </row>
    <row r="199" spans="2:6" hidden="1" x14ac:dyDescent="0.3">
      <c r="B199" t="s">
        <v>10</v>
      </c>
      <c r="C199" t="s">
        <v>34</v>
      </c>
      <c r="D199" t="s">
        <v>17</v>
      </c>
      <c r="E199" s="4">
        <v>700</v>
      </c>
      <c r="F199" s="5">
        <v>87</v>
      </c>
    </row>
    <row r="200" spans="2:6" hidden="1" x14ac:dyDescent="0.3">
      <c r="B200" t="s">
        <v>40</v>
      </c>
      <c r="C200" t="s">
        <v>38</v>
      </c>
      <c r="D200" t="s">
        <v>26</v>
      </c>
      <c r="E200" s="4">
        <v>609</v>
      </c>
      <c r="F200" s="5">
        <v>87</v>
      </c>
    </row>
    <row r="201" spans="2:6" hidden="1" x14ac:dyDescent="0.3">
      <c r="B201" t="s">
        <v>8</v>
      </c>
      <c r="C201" t="s">
        <v>37</v>
      </c>
      <c r="D201" t="s">
        <v>21</v>
      </c>
      <c r="E201" s="4">
        <v>434</v>
      </c>
      <c r="F201" s="5">
        <v>87</v>
      </c>
    </row>
    <row r="202" spans="2:6" hidden="1" x14ac:dyDescent="0.3">
      <c r="B202" t="s">
        <v>7</v>
      </c>
      <c r="C202" t="s">
        <v>36</v>
      </c>
      <c r="D202" t="s">
        <v>32</v>
      </c>
      <c r="E202" s="4">
        <v>280</v>
      </c>
      <c r="F202" s="5">
        <v>87</v>
      </c>
    </row>
    <row r="203" spans="2:6" hidden="1" x14ac:dyDescent="0.3">
      <c r="B203" t="s">
        <v>41</v>
      </c>
      <c r="C203" t="s">
        <v>36</v>
      </c>
      <c r="D203" t="s">
        <v>32</v>
      </c>
      <c r="E203" s="4">
        <v>10304</v>
      </c>
      <c r="F203" s="5">
        <v>84</v>
      </c>
    </row>
    <row r="204" spans="2:6" hidden="1" x14ac:dyDescent="0.3">
      <c r="B204" t="s">
        <v>5</v>
      </c>
      <c r="C204" t="s">
        <v>35</v>
      </c>
      <c r="D204" t="s">
        <v>22</v>
      </c>
      <c r="E204" s="4">
        <v>490</v>
      </c>
      <c r="F204" s="5">
        <v>84</v>
      </c>
    </row>
    <row r="205" spans="2:6" hidden="1" x14ac:dyDescent="0.3">
      <c r="B205" t="s">
        <v>8</v>
      </c>
      <c r="C205" t="s">
        <v>38</v>
      </c>
      <c r="D205" t="s">
        <v>22</v>
      </c>
      <c r="E205" s="4">
        <v>168</v>
      </c>
      <c r="F205" s="5">
        <v>84</v>
      </c>
    </row>
    <row r="206" spans="2:6" hidden="1" x14ac:dyDescent="0.3">
      <c r="B206" t="s">
        <v>2</v>
      </c>
      <c r="C206" t="s">
        <v>39</v>
      </c>
      <c r="D206" t="s">
        <v>27</v>
      </c>
      <c r="E206" s="4">
        <v>7812</v>
      </c>
      <c r="F206" s="5">
        <v>81</v>
      </c>
    </row>
    <row r="207" spans="2:6" hidden="1" x14ac:dyDescent="0.3">
      <c r="B207" t="s">
        <v>5</v>
      </c>
      <c r="C207" t="s">
        <v>39</v>
      </c>
      <c r="D207" t="s">
        <v>22</v>
      </c>
      <c r="E207" s="4">
        <v>6909</v>
      </c>
      <c r="F207" s="5">
        <v>81</v>
      </c>
    </row>
    <row r="208" spans="2:6" hidden="1" x14ac:dyDescent="0.3">
      <c r="B208" t="s">
        <v>8</v>
      </c>
      <c r="C208" t="s">
        <v>35</v>
      </c>
      <c r="D208" t="s">
        <v>30</v>
      </c>
      <c r="E208" s="4">
        <v>3598</v>
      </c>
      <c r="F208" s="5">
        <v>81</v>
      </c>
    </row>
    <row r="209" spans="2:6" hidden="1" x14ac:dyDescent="0.3">
      <c r="B209" t="s">
        <v>6</v>
      </c>
      <c r="C209" t="s">
        <v>37</v>
      </c>
      <c r="D209" t="s">
        <v>30</v>
      </c>
      <c r="E209" s="4">
        <v>560</v>
      </c>
      <c r="F209" s="5">
        <v>81</v>
      </c>
    </row>
    <row r="210" spans="2:6" hidden="1" x14ac:dyDescent="0.3">
      <c r="B210" t="s">
        <v>8</v>
      </c>
      <c r="C210" t="s">
        <v>38</v>
      </c>
      <c r="D210" t="s">
        <v>21</v>
      </c>
      <c r="E210" s="4">
        <v>6433</v>
      </c>
      <c r="F210" s="5">
        <v>78</v>
      </c>
    </row>
    <row r="211" spans="2:6" hidden="1" x14ac:dyDescent="0.3">
      <c r="B211" t="s">
        <v>3</v>
      </c>
      <c r="C211" t="s">
        <v>35</v>
      </c>
      <c r="D211" t="s">
        <v>23</v>
      </c>
      <c r="E211" s="4">
        <v>2023</v>
      </c>
      <c r="F211" s="5">
        <v>78</v>
      </c>
    </row>
    <row r="212" spans="2:6" hidden="1" x14ac:dyDescent="0.3">
      <c r="B212" t="s">
        <v>2</v>
      </c>
      <c r="C212" t="s">
        <v>36</v>
      </c>
      <c r="D212" t="s">
        <v>29</v>
      </c>
      <c r="E212" s="4">
        <v>8211</v>
      </c>
      <c r="F212" s="5">
        <v>75</v>
      </c>
    </row>
    <row r="213" spans="2:6" hidden="1" x14ac:dyDescent="0.3">
      <c r="B213" t="s">
        <v>6</v>
      </c>
      <c r="C213" t="s">
        <v>34</v>
      </c>
      <c r="D213" t="s">
        <v>29</v>
      </c>
      <c r="E213" s="4">
        <v>3339</v>
      </c>
      <c r="F213" s="5">
        <v>75</v>
      </c>
    </row>
    <row r="214" spans="2:6" hidden="1" x14ac:dyDescent="0.3">
      <c r="B214" t="s">
        <v>7</v>
      </c>
      <c r="C214" t="s">
        <v>34</v>
      </c>
      <c r="D214" t="s">
        <v>32</v>
      </c>
      <c r="E214" s="4">
        <v>3262</v>
      </c>
      <c r="F214" s="5">
        <v>75</v>
      </c>
    </row>
    <row r="215" spans="2:6" hidden="1" x14ac:dyDescent="0.3">
      <c r="B215" t="s">
        <v>40</v>
      </c>
      <c r="C215" t="s">
        <v>34</v>
      </c>
      <c r="D215" t="s">
        <v>23</v>
      </c>
      <c r="E215" s="4">
        <v>2779</v>
      </c>
      <c r="F215" s="5">
        <v>75</v>
      </c>
    </row>
    <row r="216" spans="2:6" hidden="1" x14ac:dyDescent="0.3">
      <c r="B216" t="s">
        <v>6</v>
      </c>
      <c r="C216" t="s">
        <v>34</v>
      </c>
      <c r="D216" t="s">
        <v>16</v>
      </c>
      <c r="E216" s="4">
        <v>2219</v>
      </c>
      <c r="F216" s="5">
        <v>75</v>
      </c>
    </row>
    <row r="217" spans="2:6" hidden="1" x14ac:dyDescent="0.3">
      <c r="B217" t="s">
        <v>7</v>
      </c>
      <c r="C217" t="s">
        <v>38</v>
      </c>
      <c r="D217" t="s">
        <v>14</v>
      </c>
      <c r="E217" s="4">
        <v>1281</v>
      </c>
      <c r="F217" s="5">
        <v>75</v>
      </c>
    </row>
    <row r="218" spans="2:6" hidden="1" x14ac:dyDescent="0.3">
      <c r="B218" t="s">
        <v>10</v>
      </c>
      <c r="C218" t="s">
        <v>36</v>
      </c>
      <c r="D218" t="s">
        <v>13</v>
      </c>
      <c r="E218" s="4">
        <v>945</v>
      </c>
      <c r="F218" s="5">
        <v>75</v>
      </c>
    </row>
    <row r="219" spans="2:6" hidden="1" x14ac:dyDescent="0.3">
      <c r="B219" t="s">
        <v>5</v>
      </c>
      <c r="C219" t="s">
        <v>37</v>
      </c>
      <c r="D219" t="s">
        <v>22</v>
      </c>
      <c r="E219" s="4">
        <v>518</v>
      </c>
      <c r="F219" s="5">
        <v>75</v>
      </c>
    </row>
    <row r="220" spans="2:6" hidden="1" x14ac:dyDescent="0.3">
      <c r="B220" t="s">
        <v>6</v>
      </c>
      <c r="C220" t="s">
        <v>38</v>
      </c>
      <c r="D220" t="s">
        <v>25</v>
      </c>
      <c r="E220" s="4">
        <v>469</v>
      </c>
      <c r="F220" s="5">
        <v>75</v>
      </c>
    </row>
    <row r="221" spans="2:6" hidden="1" x14ac:dyDescent="0.3">
      <c r="B221" t="s">
        <v>40</v>
      </c>
      <c r="C221" t="s">
        <v>37</v>
      </c>
      <c r="D221" t="s">
        <v>29</v>
      </c>
      <c r="E221" s="4">
        <v>9002</v>
      </c>
      <c r="F221" s="5">
        <v>72</v>
      </c>
    </row>
    <row r="222" spans="2:6" hidden="1" x14ac:dyDescent="0.3">
      <c r="B222" t="s">
        <v>41</v>
      </c>
      <c r="C222" t="s">
        <v>39</v>
      </c>
      <c r="D222" t="s">
        <v>14</v>
      </c>
      <c r="E222" s="4">
        <v>3976</v>
      </c>
      <c r="F222" s="5">
        <v>72</v>
      </c>
    </row>
    <row r="223" spans="2:6" hidden="1" x14ac:dyDescent="0.3">
      <c r="B223" t="s">
        <v>9</v>
      </c>
      <c r="C223" t="s">
        <v>39</v>
      </c>
      <c r="D223" t="s">
        <v>25</v>
      </c>
      <c r="E223" s="4">
        <v>3192</v>
      </c>
      <c r="F223" s="5">
        <v>72</v>
      </c>
    </row>
    <row r="224" spans="2:6" hidden="1" x14ac:dyDescent="0.3">
      <c r="B224" t="s">
        <v>10</v>
      </c>
      <c r="C224" t="s">
        <v>36</v>
      </c>
      <c r="D224" t="s">
        <v>27</v>
      </c>
      <c r="E224" s="4">
        <v>1407</v>
      </c>
      <c r="F224" s="5">
        <v>72</v>
      </c>
    </row>
    <row r="225" spans="2:6" hidden="1" x14ac:dyDescent="0.3">
      <c r="B225" t="s">
        <v>41</v>
      </c>
      <c r="C225" t="s">
        <v>35</v>
      </c>
      <c r="D225" t="s">
        <v>13</v>
      </c>
      <c r="E225" s="4">
        <v>4760</v>
      </c>
      <c r="F225" s="5">
        <v>69</v>
      </c>
    </row>
    <row r="226" spans="2:6" hidden="1" x14ac:dyDescent="0.3">
      <c r="B226" t="s">
        <v>3</v>
      </c>
      <c r="C226" t="s">
        <v>35</v>
      </c>
      <c r="D226" t="s">
        <v>29</v>
      </c>
      <c r="E226" s="4">
        <v>2114</v>
      </c>
      <c r="F226" s="5">
        <v>66</v>
      </c>
    </row>
    <row r="227" spans="2:6" hidden="1" x14ac:dyDescent="0.3">
      <c r="B227" t="s">
        <v>5</v>
      </c>
      <c r="C227" t="s">
        <v>36</v>
      </c>
      <c r="D227" t="s">
        <v>13</v>
      </c>
      <c r="E227" s="4">
        <v>6146</v>
      </c>
      <c r="F227" s="5">
        <v>63</v>
      </c>
    </row>
    <row r="228" spans="2:6" hidden="1" x14ac:dyDescent="0.3">
      <c r="B228" t="s">
        <v>7</v>
      </c>
      <c r="C228" t="s">
        <v>35</v>
      </c>
      <c r="D228" t="s">
        <v>14</v>
      </c>
      <c r="E228" s="4">
        <v>4606</v>
      </c>
      <c r="F228" s="5">
        <v>63</v>
      </c>
    </row>
    <row r="229" spans="2:6" hidden="1" x14ac:dyDescent="0.3">
      <c r="B229" t="s">
        <v>8</v>
      </c>
      <c r="C229" t="s">
        <v>38</v>
      </c>
      <c r="D229" t="s">
        <v>27</v>
      </c>
      <c r="E229" s="4">
        <v>2268</v>
      </c>
      <c r="F229" s="5">
        <v>63</v>
      </c>
    </row>
    <row r="230" spans="2:6" hidden="1" x14ac:dyDescent="0.3">
      <c r="B230" t="s">
        <v>6</v>
      </c>
      <c r="C230" t="s">
        <v>39</v>
      </c>
      <c r="D230" t="s">
        <v>30</v>
      </c>
      <c r="E230" s="4">
        <v>1638</v>
      </c>
      <c r="F230" s="5">
        <v>63</v>
      </c>
    </row>
    <row r="231" spans="2:6" hidden="1" x14ac:dyDescent="0.3">
      <c r="B231" t="s">
        <v>6</v>
      </c>
      <c r="C231" t="s">
        <v>36</v>
      </c>
      <c r="D231" t="s">
        <v>21</v>
      </c>
      <c r="E231" s="4">
        <v>497</v>
      </c>
      <c r="F231" s="5">
        <v>63</v>
      </c>
    </row>
    <row r="232" spans="2:6" hidden="1" x14ac:dyDescent="0.3">
      <c r="B232" t="s">
        <v>9</v>
      </c>
      <c r="C232" t="s">
        <v>38</v>
      </c>
      <c r="D232" t="s">
        <v>24</v>
      </c>
      <c r="E232" s="4">
        <v>4137</v>
      </c>
      <c r="F232" s="5">
        <v>60</v>
      </c>
    </row>
    <row r="233" spans="2:6" hidden="1" x14ac:dyDescent="0.3">
      <c r="B233" t="s">
        <v>9</v>
      </c>
      <c r="C233" t="s">
        <v>36</v>
      </c>
      <c r="D233" t="s">
        <v>30</v>
      </c>
      <c r="E233" s="4">
        <v>9051</v>
      </c>
      <c r="F233" s="5">
        <v>57</v>
      </c>
    </row>
    <row r="234" spans="2:6" hidden="1" x14ac:dyDescent="0.3">
      <c r="B234" t="s">
        <v>5</v>
      </c>
      <c r="C234" t="s">
        <v>38</v>
      </c>
      <c r="D234" t="s">
        <v>13</v>
      </c>
      <c r="E234" s="4">
        <v>7189</v>
      </c>
      <c r="F234" s="5">
        <v>54</v>
      </c>
    </row>
    <row r="235" spans="2:6" hidden="1" x14ac:dyDescent="0.3">
      <c r="B235" t="s">
        <v>7</v>
      </c>
      <c r="C235" t="s">
        <v>37</v>
      </c>
      <c r="D235" t="s">
        <v>30</v>
      </c>
      <c r="E235" s="4">
        <v>6454</v>
      </c>
      <c r="F235" s="5">
        <v>54</v>
      </c>
    </row>
    <row r="236" spans="2:6" hidden="1" x14ac:dyDescent="0.3">
      <c r="B236" t="s">
        <v>3</v>
      </c>
      <c r="C236" t="s">
        <v>34</v>
      </c>
      <c r="D236" t="s">
        <v>26</v>
      </c>
      <c r="E236" s="4">
        <v>3108</v>
      </c>
      <c r="F236" s="5">
        <v>54</v>
      </c>
    </row>
    <row r="237" spans="2:6" hidden="1" x14ac:dyDescent="0.3">
      <c r="B237" t="s">
        <v>6</v>
      </c>
      <c r="C237" t="s">
        <v>38</v>
      </c>
      <c r="D237" t="s">
        <v>31</v>
      </c>
      <c r="E237" s="4">
        <v>2681</v>
      </c>
      <c r="F237" s="5">
        <v>54</v>
      </c>
    </row>
    <row r="238" spans="2:6" hidden="1" x14ac:dyDescent="0.3">
      <c r="B238" t="s">
        <v>2</v>
      </c>
      <c r="C238" t="s">
        <v>37</v>
      </c>
      <c r="D238" t="s">
        <v>14</v>
      </c>
      <c r="E238" s="4">
        <v>1057</v>
      </c>
      <c r="F238" s="5">
        <v>54</v>
      </c>
    </row>
    <row r="239" spans="2:6" hidden="1" x14ac:dyDescent="0.3">
      <c r="B239" t="s">
        <v>2</v>
      </c>
      <c r="C239" t="s">
        <v>34</v>
      </c>
      <c r="D239" t="s">
        <v>13</v>
      </c>
      <c r="E239" s="4">
        <v>252</v>
      </c>
      <c r="F239" s="5">
        <v>54</v>
      </c>
    </row>
    <row r="240" spans="2:6" hidden="1" x14ac:dyDescent="0.3">
      <c r="B240" t="s">
        <v>5</v>
      </c>
      <c r="C240" t="s">
        <v>39</v>
      </c>
      <c r="D240" t="s">
        <v>26</v>
      </c>
      <c r="E240" s="4">
        <v>5236</v>
      </c>
      <c r="F240" s="5">
        <v>51</v>
      </c>
    </row>
    <row r="241" spans="2:6" hidden="1" x14ac:dyDescent="0.3">
      <c r="B241" t="s">
        <v>3</v>
      </c>
      <c r="C241" t="s">
        <v>39</v>
      </c>
      <c r="D241" t="s">
        <v>29</v>
      </c>
      <c r="E241" s="4">
        <v>3640</v>
      </c>
      <c r="F241" s="5">
        <v>51</v>
      </c>
    </row>
    <row r="242" spans="2:6" hidden="1" x14ac:dyDescent="0.3">
      <c r="B242" t="s">
        <v>40</v>
      </c>
      <c r="C242" t="s">
        <v>38</v>
      </c>
      <c r="D242" t="s">
        <v>24</v>
      </c>
      <c r="E242" s="4">
        <v>623</v>
      </c>
      <c r="F242" s="5">
        <v>51</v>
      </c>
    </row>
    <row r="243" spans="2:6" hidden="1" x14ac:dyDescent="0.3">
      <c r="B243" t="s">
        <v>2</v>
      </c>
      <c r="C243" t="s">
        <v>38</v>
      </c>
      <c r="D243" t="s">
        <v>13</v>
      </c>
      <c r="E243" s="4">
        <v>56</v>
      </c>
      <c r="F243" s="5">
        <v>51</v>
      </c>
    </row>
    <row r="244" spans="2:6" hidden="1" x14ac:dyDescent="0.3">
      <c r="B244" t="s">
        <v>40</v>
      </c>
      <c r="C244" t="s">
        <v>34</v>
      </c>
      <c r="D244" t="s">
        <v>26</v>
      </c>
      <c r="E244" s="4">
        <v>6748</v>
      </c>
      <c r="F244" s="5">
        <v>48</v>
      </c>
    </row>
    <row r="245" spans="2:6" hidden="1" x14ac:dyDescent="0.3">
      <c r="B245" t="s">
        <v>7</v>
      </c>
      <c r="C245" t="s">
        <v>37</v>
      </c>
      <c r="D245" t="s">
        <v>33</v>
      </c>
      <c r="E245" s="4">
        <v>6391</v>
      </c>
      <c r="F245" s="5">
        <v>48</v>
      </c>
    </row>
    <row r="246" spans="2:6" hidden="1" x14ac:dyDescent="0.3">
      <c r="B246" t="s">
        <v>7</v>
      </c>
      <c r="C246" t="s">
        <v>34</v>
      </c>
      <c r="D246" t="s">
        <v>33</v>
      </c>
      <c r="E246" s="4">
        <v>2226</v>
      </c>
      <c r="F246" s="5">
        <v>48</v>
      </c>
    </row>
    <row r="247" spans="2:6" hidden="1" x14ac:dyDescent="0.3">
      <c r="B247" t="s">
        <v>40</v>
      </c>
      <c r="C247" t="s">
        <v>35</v>
      </c>
      <c r="D247" t="s">
        <v>24</v>
      </c>
      <c r="E247" s="4">
        <v>1638</v>
      </c>
      <c r="F247" s="5">
        <v>48</v>
      </c>
    </row>
    <row r="248" spans="2:6" hidden="1" x14ac:dyDescent="0.3">
      <c r="B248" t="s">
        <v>6</v>
      </c>
      <c r="C248" t="s">
        <v>34</v>
      </c>
      <c r="D248" t="s">
        <v>4</v>
      </c>
      <c r="E248" s="4">
        <v>525</v>
      </c>
      <c r="F248" s="5">
        <v>48</v>
      </c>
    </row>
    <row r="249" spans="2:6" hidden="1" x14ac:dyDescent="0.3">
      <c r="B249" t="s">
        <v>2</v>
      </c>
      <c r="C249" t="s">
        <v>36</v>
      </c>
      <c r="D249" t="s">
        <v>17</v>
      </c>
      <c r="E249" s="4">
        <v>189</v>
      </c>
      <c r="F249" s="5">
        <v>48</v>
      </c>
    </row>
    <row r="250" spans="2:6" hidden="1" x14ac:dyDescent="0.3">
      <c r="B250" t="s">
        <v>5</v>
      </c>
      <c r="C250" t="s">
        <v>37</v>
      </c>
      <c r="D250" t="s">
        <v>31</v>
      </c>
      <c r="E250" s="4">
        <v>182</v>
      </c>
      <c r="F250" s="5">
        <v>48</v>
      </c>
    </row>
    <row r="251" spans="2:6" hidden="1" x14ac:dyDescent="0.3">
      <c r="B251" t="s">
        <v>5</v>
      </c>
      <c r="C251" t="s">
        <v>38</v>
      </c>
      <c r="D251" t="s">
        <v>25</v>
      </c>
      <c r="E251" s="4">
        <v>7483</v>
      </c>
      <c r="F251" s="5">
        <v>45</v>
      </c>
    </row>
    <row r="252" spans="2:6" hidden="1" x14ac:dyDescent="0.3">
      <c r="B252" t="s">
        <v>8</v>
      </c>
      <c r="C252" t="s">
        <v>37</v>
      </c>
      <c r="D252" t="s">
        <v>26</v>
      </c>
      <c r="E252" s="4">
        <v>6279</v>
      </c>
      <c r="F252" s="5">
        <v>45</v>
      </c>
    </row>
    <row r="253" spans="2:6" hidden="1" x14ac:dyDescent="0.3">
      <c r="B253" t="s">
        <v>9</v>
      </c>
      <c r="C253" t="s">
        <v>37</v>
      </c>
      <c r="D253" t="s">
        <v>28</v>
      </c>
      <c r="E253" s="4">
        <v>2919</v>
      </c>
      <c r="F253" s="5">
        <v>45</v>
      </c>
    </row>
    <row r="254" spans="2:6" hidden="1" x14ac:dyDescent="0.3">
      <c r="B254" t="s">
        <v>40</v>
      </c>
      <c r="C254" t="s">
        <v>38</v>
      </c>
      <c r="D254" t="s">
        <v>29</v>
      </c>
      <c r="E254" s="4">
        <v>2541</v>
      </c>
      <c r="F254" s="5">
        <v>45</v>
      </c>
    </row>
    <row r="255" spans="2:6" hidden="1" x14ac:dyDescent="0.3">
      <c r="B255" t="s">
        <v>7</v>
      </c>
      <c r="C255" t="s">
        <v>36</v>
      </c>
      <c r="D255" t="s">
        <v>22</v>
      </c>
      <c r="E255" s="4">
        <v>8435</v>
      </c>
      <c r="F255" s="5">
        <v>42</v>
      </c>
    </row>
    <row r="256" spans="2:6" hidden="1" x14ac:dyDescent="0.3">
      <c r="B256" t="s">
        <v>3</v>
      </c>
      <c r="C256" t="s">
        <v>34</v>
      </c>
      <c r="D256" t="s">
        <v>25</v>
      </c>
      <c r="E256" s="4">
        <v>6300</v>
      </c>
      <c r="F256" s="5">
        <v>42</v>
      </c>
    </row>
    <row r="257" spans="2:6" hidden="1" x14ac:dyDescent="0.3">
      <c r="B257" t="s">
        <v>40</v>
      </c>
      <c r="C257" t="s">
        <v>39</v>
      </c>
      <c r="D257" t="s">
        <v>15</v>
      </c>
      <c r="E257" s="4">
        <v>5775</v>
      </c>
      <c r="F257" s="5">
        <v>42</v>
      </c>
    </row>
    <row r="258" spans="2:6" hidden="1" x14ac:dyDescent="0.3">
      <c r="B258" t="s">
        <v>2</v>
      </c>
      <c r="C258" t="s">
        <v>37</v>
      </c>
      <c r="D258" t="s">
        <v>15</v>
      </c>
      <c r="E258" s="4">
        <v>2863</v>
      </c>
      <c r="F258" s="5">
        <v>42</v>
      </c>
    </row>
    <row r="259" spans="2:6" x14ac:dyDescent="0.3">
      <c r="B259" t="s">
        <v>5</v>
      </c>
      <c r="C259" t="s">
        <v>36</v>
      </c>
      <c r="D259" t="s">
        <v>16</v>
      </c>
      <c r="E259" s="4">
        <v>16184</v>
      </c>
      <c r="F259" s="5">
        <v>39</v>
      </c>
    </row>
    <row r="260" spans="2:6" hidden="1" x14ac:dyDescent="0.3">
      <c r="B260" t="s">
        <v>7</v>
      </c>
      <c r="C260" t="s">
        <v>34</v>
      </c>
      <c r="D260" t="s">
        <v>17</v>
      </c>
      <c r="E260" s="4">
        <v>7777</v>
      </c>
      <c r="F260" s="5">
        <v>39</v>
      </c>
    </row>
    <row r="261" spans="2:6" hidden="1" x14ac:dyDescent="0.3">
      <c r="B261" t="s">
        <v>3</v>
      </c>
      <c r="C261" t="s">
        <v>36</v>
      </c>
      <c r="D261" t="s">
        <v>25</v>
      </c>
      <c r="E261" s="4">
        <v>3339</v>
      </c>
      <c r="F261" s="5">
        <v>39</v>
      </c>
    </row>
    <row r="262" spans="2:6" hidden="1" x14ac:dyDescent="0.3">
      <c r="B262" t="s">
        <v>40</v>
      </c>
      <c r="C262" t="s">
        <v>38</v>
      </c>
      <c r="D262" t="s">
        <v>31</v>
      </c>
      <c r="E262" s="4">
        <v>1988</v>
      </c>
      <c r="F262" s="5">
        <v>39</v>
      </c>
    </row>
    <row r="263" spans="2:6" hidden="1" x14ac:dyDescent="0.3">
      <c r="B263" t="s">
        <v>41</v>
      </c>
      <c r="C263" t="s">
        <v>34</v>
      </c>
      <c r="D263" t="s">
        <v>17</v>
      </c>
      <c r="E263" s="4">
        <v>1463</v>
      </c>
      <c r="F263" s="5">
        <v>39</v>
      </c>
    </row>
    <row r="264" spans="2:6" hidden="1" x14ac:dyDescent="0.3">
      <c r="B264" t="s">
        <v>3</v>
      </c>
      <c r="C264" t="s">
        <v>36</v>
      </c>
      <c r="D264" t="s">
        <v>16</v>
      </c>
      <c r="E264" s="4">
        <v>9198</v>
      </c>
      <c r="F264" s="5">
        <v>36</v>
      </c>
    </row>
    <row r="265" spans="2:6" hidden="1" x14ac:dyDescent="0.3">
      <c r="B265" t="s">
        <v>6</v>
      </c>
      <c r="C265" t="s">
        <v>38</v>
      </c>
      <c r="D265" t="s">
        <v>21</v>
      </c>
      <c r="E265" s="4">
        <v>7322</v>
      </c>
      <c r="F265" s="5">
        <v>36</v>
      </c>
    </row>
    <row r="266" spans="2:6" hidden="1" x14ac:dyDescent="0.3">
      <c r="B266" t="s">
        <v>2</v>
      </c>
      <c r="C266" t="s">
        <v>39</v>
      </c>
      <c r="D266" t="s">
        <v>15</v>
      </c>
      <c r="E266" s="4">
        <v>4802</v>
      </c>
      <c r="F266" s="5">
        <v>36</v>
      </c>
    </row>
    <row r="267" spans="2:6" hidden="1" x14ac:dyDescent="0.3">
      <c r="B267" t="s">
        <v>2</v>
      </c>
      <c r="C267" t="s">
        <v>39</v>
      </c>
      <c r="D267" t="s">
        <v>23</v>
      </c>
      <c r="E267" s="4">
        <v>630</v>
      </c>
      <c r="F267" s="5">
        <v>36</v>
      </c>
    </row>
    <row r="268" spans="2:6" hidden="1" x14ac:dyDescent="0.3">
      <c r="B268" t="s">
        <v>40</v>
      </c>
      <c r="C268" t="s">
        <v>36</v>
      </c>
      <c r="D268" t="s">
        <v>4</v>
      </c>
      <c r="E268" s="4">
        <v>217</v>
      </c>
      <c r="F268" s="5">
        <v>36</v>
      </c>
    </row>
    <row r="269" spans="2:6" x14ac:dyDescent="0.3">
      <c r="B269" t="s">
        <v>10</v>
      </c>
      <c r="C269" t="s">
        <v>39</v>
      </c>
      <c r="D269" t="s">
        <v>33</v>
      </c>
      <c r="E269" s="4">
        <v>12950</v>
      </c>
      <c r="F269" s="5">
        <v>30</v>
      </c>
    </row>
    <row r="270" spans="2:6" hidden="1" x14ac:dyDescent="0.3">
      <c r="B270" t="s">
        <v>8</v>
      </c>
      <c r="C270" t="s">
        <v>37</v>
      </c>
      <c r="D270" t="s">
        <v>15</v>
      </c>
      <c r="E270" s="4">
        <v>9709</v>
      </c>
      <c r="F270" s="5">
        <v>30</v>
      </c>
    </row>
    <row r="271" spans="2:6" hidden="1" x14ac:dyDescent="0.3">
      <c r="B271" t="s">
        <v>40</v>
      </c>
      <c r="C271" t="s">
        <v>39</v>
      </c>
      <c r="D271" t="s">
        <v>27</v>
      </c>
      <c r="E271" s="4">
        <v>6370</v>
      </c>
      <c r="F271" s="5">
        <v>30</v>
      </c>
    </row>
    <row r="272" spans="2:6" hidden="1" x14ac:dyDescent="0.3">
      <c r="B272" t="s">
        <v>40</v>
      </c>
      <c r="C272" t="s">
        <v>36</v>
      </c>
      <c r="D272" t="s">
        <v>25</v>
      </c>
      <c r="E272" s="4">
        <v>5439</v>
      </c>
      <c r="F272" s="5">
        <v>30</v>
      </c>
    </row>
    <row r="273" spans="2:6" hidden="1" x14ac:dyDescent="0.3">
      <c r="B273" t="s">
        <v>10</v>
      </c>
      <c r="C273" t="s">
        <v>37</v>
      </c>
      <c r="D273" t="s">
        <v>23</v>
      </c>
      <c r="E273" s="4">
        <v>4683</v>
      </c>
      <c r="F273" s="5">
        <v>30</v>
      </c>
    </row>
    <row r="274" spans="2:6" hidden="1" x14ac:dyDescent="0.3">
      <c r="B274" t="s">
        <v>6</v>
      </c>
      <c r="C274" t="s">
        <v>36</v>
      </c>
      <c r="D274" t="s">
        <v>13</v>
      </c>
      <c r="E274" s="4">
        <v>4319</v>
      </c>
      <c r="F274" s="5">
        <v>30</v>
      </c>
    </row>
    <row r="275" spans="2:6" hidden="1" x14ac:dyDescent="0.3">
      <c r="B275" t="s">
        <v>8</v>
      </c>
      <c r="C275" t="s">
        <v>39</v>
      </c>
      <c r="D275" t="s">
        <v>18</v>
      </c>
      <c r="E275" s="4">
        <v>9660</v>
      </c>
      <c r="F275" s="5">
        <v>27</v>
      </c>
    </row>
    <row r="276" spans="2:6" hidden="1" x14ac:dyDescent="0.3">
      <c r="B276" t="s">
        <v>9</v>
      </c>
      <c r="C276" t="s">
        <v>34</v>
      </c>
      <c r="D276" t="s">
        <v>21</v>
      </c>
      <c r="E276" s="4">
        <v>6832</v>
      </c>
      <c r="F276" s="5">
        <v>27</v>
      </c>
    </row>
    <row r="277" spans="2:6" hidden="1" x14ac:dyDescent="0.3">
      <c r="B277" t="s">
        <v>6</v>
      </c>
      <c r="C277" t="s">
        <v>39</v>
      </c>
      <c r="D277" t="s">
        <v>17</v>
      </c>
      <c r="E277" s="4">
        <v>6048</v>
      </c>
      <c r="F277" s="5">
        <v>27</v>
      </c>
    </row>
    <row r="278" spans="2:6" hidden="1" x14ac:dyDescent="0.3">
      <c r="B278" t="s">
        <v>10</v>
      </c>
      <c r="C278" t="s">
        <v>37</v>
      </c>
      <c r="D278" t="s">
        <v>28</v>
      </c>
      <c r="E278" s="4">
        <v>3059</v>
      </c>
      <c r="F278" s="5">
        <v>27</v>
      </c>
    </row>
    <row r="279" spans="2:6" hidden="1" x14ac:dyDescent="0.3">
      <c r="B279" t="s">
        <v>7</v>
      </c>
      <c r="C279" t="s">
        <v>35</v>
      </c>
      <c r="D279" t="s">
        <v>16</v>
      </c>
      <c r="E279" s="4">
        <v>2135</v>
      </c>
      <c r="F279" s="5">
        <v>27</v>
      </c>
    </row>
    <row r="280" spans="2:6" hidden="1" x14ac:dyDescent="0.3">
      <c r="B280" t="s">
        <v>8</v>
      </c>
      <c r="C280" t="s">
        <v>39</v>
      </c>
      <c r="D280" t="s">
        <v>26</v>
      </c>
      <c r="E280" s="4">
        <v>1561</v>
      </c>
      <c r="F280" s="5">
        <v>27</v>
      </c>
    </row>
    <row r="281" spans="2:6" hidden="1" x14ac:dyDescent="0.3">
      <c r="B281" t="s">
        <v>10</v>
      </c>
      <c r="C281" t="s">
        <v>34</v>
      </c>
      <c r="D281" t="s">
        <v>22</v>
      </c>
      <c r="E281" s="4">
        <v>4053</v>
      </c>
      <c r="F281" s="5">
        <v>24</v>
      </c>
    </row>
    <row r="282" spans="2:6" hidden="1" x14ac:dyDescent="0.3">
      <c r="B282" t="s">
        <v>7</v>
      </c>
      <c r="C282" t="s">
        <v>34</v>
      </c>
      <c r="D282" t="s">
        <v>15</v>
      </c>
      <c r="E282" s="4">
        <v>3829</v>
      </c>
      <c r="F282" s="5">
        <v>24</v>
      </c>
    </row>
    <row r="283" spans="2:6" x14ac:dyDescent="0.3">
      <c r="B283" t="s">
        <v>2</v>
      </c>
      <c r="C283" t="s">
        <v>36</v>
      </c>
      <c r="D283" t="s">
        <v>16</v>
      </c>
      <c r="E283" s="4">
        <v>11417</v>
      </c>
      <c r="F283" s="5">
        <v>21</v>
      </c>
    </row>
    <row r="284" spans="2:6" hidden="1" x14ac:dyDescent="0.3">
      <c r="B284" t="s">
        <v>5</v>
      </c>
      <c r="C284" t="s">
        <v>37</v>
      </c>
      <c r="D284" t="s">
        <v>25</v>
      </c>
      <c r="E284" s="4">
        <v>8813</v>
      </c>
      <c r="F284" s="5">
        <v>21</v>
      </c>
    </row>
    <row r="285" spans="2:6" hidden="1" x14ac:dyDescent="0.3">
      <c r="B285" t="s">
        <v>40</v>
      </c>
      <c r="C285" t="s">
        <v>37</v>
      </c>
      <c r="D285" t="s">
        <v>19</v>
      </c>
      <c r="E285" s="4">
        <v>7693</v>
      </c>
      <c r="F285" s="5">
        <v>21</v>
      </c>
    </row>
    <row r="286" spans="2:6" hidden="1" x14ac:dyDescent="0.3">
      <c r="B286" t="s">
        <v>5</v>
      </c>
      <c r="C286" t="s">
        <v>34</v>
      </c>
      <c r="D286" t="s">
        <v>27</v>
      </c>
      <c r="E286" s="4">
        <v>6986</v>
      </c>
      <c r="F286" s="5">
        <v>21</v>
      </c>
    </row>
    <row r="287" spans="2:6" hidden="1" x14ac:dyDescent="0.3">
      <c r="B287" t="s">
        <v>5</v>
      </c>
      <c r="C287" t="s">
        <v>38</v>
      </c>
      <c r="D287" t="s">
        <v>32</v>
      </c>
      <c r="E287" s="4">
        <v>5075</v>
      </c>
      <c r="F287" s="5">
        <v>21</v>
      </c>
    </row>
    <row r="288" spans="2:6" hidden="1" x14ac:dyDescent="0.3">
      <c r="B288" t="s">
        <v>7</v>
      </c>
      <c r="C288" t="s">
        <v>35</v>
      </c>
      <c r="D288" t="s">
        <v>27</v>
      </c>
      <c r="E288" s="4">
        <v>2478</v>
      </c>
      <c r="F288" s="5">
        <v>21</v>
      </c>
    </row>
    <row r="289" spans="2:6" hidden="1" x14ac:dyDescent="0.3">
      <c r="B289" t="s">
        <v>41</v>
      </c>
      <c r="C289" t="s">
        <v>38</v>
      </c>
      <c r="D289" t="s">
        <v>25</v>
      </c>
      <c r="E289" s="4">
        <v>154</v>
      </c>
      <c r="F289" s="5">
        <v>21</v>
      </c>
    </row>
    <row r="290" spans="2:6" hidden="1" x14ac:dyDescent="0.3">
      <c r="B290" t="s">
        <v>3</v>
      </c>
      <c r="C290" t="s">
        <v>34</v>
      </c>
      <c r="D290" t="s">
        <v>20</v>
      </c>
      <c r="E290" s="4">
        <v>2583</v>
      </c>
      <c r="F290" s="5">
        <v>18</v>
      </c>
    </row>
    <row r="291" spans="2:6" hidden="1" x14ac:dyDescent="0.3">
      <c r="B291" t="s">
        <v>3</v>
      </c>
      <c r="C291" t="s">
        <v>36</v>
      </c>
      <c r="D291" t="s">
        <v>19</v>
      </c>
      <c r="E291" s="4">
        <v>1281</v>
      </c>
      <c r="F291" s="5">
        <v>18</v>
      </c>
    </row>
    <row r="292" spans="2:6" hidden="1" x14ac:dyDescent="0.3">
      <c r="B292" t="s">
        <v>2</v>
      </c>
      <c r="C292" t="s">
        <v>37</v>
      </c>
      <c r="D292" t="s">
        <v>19</v>
      </c>
      <c r="E292" s="4">
        <v>238</v>
      </c>
      <c r="F292" s="5">
        <v>18</v>
      </c>
    </row>
    <row r="293" spans="2:6" hidden="1" x14ac:dyDescent="0.3">
      <c r="B293" t="s">
        <v>5</v>
      </c>
      <c r="C293" t="s">
        <v>36</v>
      </c>
      <c r="D293" t="s">
        <v>23</v>
      </c>
      <c r="E293" s="4">
        <v>6314</v>
      </c>
      <c r="F293" s="5">
        <v>15</v>
      </c>
    </row>
    <row r="294" spans="2:6" hidden="1" x14ac:dyDescent="0.3">
      <c r="B294" t="s">
        <v>5</v>
      </c>
      <c r="C294" t="s">
        <v>35</v>
      </c>
      <c r="D294" t="s">
        <v>18</v>
      </c>
      <c r="E294" s="4">
        <v>2415</v>
      </c>
      <c r="F294" s="5">
        <v>15</v>
      </c>
    </row>
    <row r="295" spans="2:6" hidden="1" x14ac:dyDescent="0.3">
      <c r="B295" t="s">
        <v>6</v>
      </c>
      <c r="C295" t="s">
        <v>34</v>
      </c>
      <c r="D295" t="s">
        <v>15</v>
      </c>
      <c r="E295" s="4">
        <v>1442</v>
      </c>
      <c r="F295" s="5">
        <v>15</v>
      </c>
    </row>
    <row r="296" spans="2:6" hidden="1" x14ac:dyDescent="0.3">
      <c r="B296" t="s">
        <v>2</v>
      </c>
      <c r="C296" t="s">
        <v>35</v>
      </c>
      <c r="D296" t="s">
        <v>19</v>
      </c>
      <c r="E296" s="4">
        <v>553</v>
      </c>
      <c r="F296" s="5">
        <v>15</v>
      </c>
    </row>
    <row r="297" spans="2:6" hidden="1" x14ac:dyDescent="0.3">
      <c r="B297" t="s">
        <v>40</v>
      </c>
      <c r="C297" t="s">
        <v>39</v>
      </c>
      <c r="D297" t="s">
        <v>22</v>
      </c>
      <c r="E297" s="4">
        <v>5817</v>
      </c>
      <c r="F297" s="5">
        <v>12</v>
      </c>
    </row>
    <row r="298" spans="2:6" hidden="1" x14ac:dyDescent="0.3">
      <c r="B298" t="s">
        <v>5</v>
      </c>
      <c r="C298" t="s">
        <v>37</v>
      </c>
      <c r="D298" t="s">
        <v>14</v>
      </c>
      <c r="E298" s="4">
        <v>4991</v>
      </c>
      <c r="F298" s="5">
        <v>12</v>
      </c>
    </row>
    <row r="299" spans="2:6" hidden="1" x14ac:dyDescent="0.3">
      <c r="B299" t="s">
        <v>6</v>
      </c>
      <c r="C299" t="s">
        <v>36</v>
      </c>
      <c r="D299" t="s">
        <v>32</v>
      </c>
      <c r="E299" s="4">
        <v>6118</v>
      </c>
      <c r="F299" s="5">
        <v>9</v>
      </c>
    </row>
    <row r="300" spans="2:6" hidden="1" x14ac:dyDescent="0.3">
      <c r="B300" t="s">
        <v>10</v>
      </c>
      <c r="C300" t="s">
        <v>34</v>
      </c>
      <c r="D300" t="s">
        <v>26</v>
      </c>
      <c r="E300" s="4">
        <v>4991</v>
      </c>
      <c r="F300" s="5">
        <v>9</v>
      </c>
    </row>
    <row r="301" spans="2:6" hidden="1" x14ac:dyDescent="0.3">
      <c r="B301" t="s">
        <v>41</v>
      </c>
      <c r="C301" t="s">
        <v>37</v>
      </c>
      <c r="D301" t="s">
        <v>21</v>
      </c>
      <c r="E301" s="4">
        <v>2933</v>
      </c>
      <c r="F301" s="5">
        <v>9</v>
      </c>
    </row>
    <row r="302" spans="2:6" hidden="1" x14ac:dyDescent="0.3">
      <c r="B302" t="s">
        <v>5</v>
      </c>
      <c r="C302" t="s">
        <v>35</v>
      </c>
      <c r="D302" t="s">
        <v>4</v>
      </c>
      <c r="E302" s="4">
        <v>2744</v>
      </c>
      <c r="F302" s="5">
        <v>9</v>
      </c>
    </row>
    <row r="303" spans="2:6" hidden="1" x14ac:dyDescent="0.3">
      <c r="B303" t="s">
        <v>9</v>
      </c>
      <c r="C303" t="s">
        <v>38</v>
      </c>
      <c r="D303" t="s">
        <v>17</v>
      </c>
      <c r="E303" s="4">
        <v>2408</v>
      </c>
      <c r="F303" s="5">
        <v>9</v>
      </c>
    </row>
    <row r="304" spans="2:6" hidden="1" x14ac:dyDescent="0.3">
      <c r="B304" t="s">
        <v>6</v>
      </c>
      <c r="C304" t="s">
        <v>37</v>
      </c>
      <c r="D304" t="s">
        <v>26</v>
      </c>
      <c r="E304" s="4">
        <v>6818</v>
      </c>
      <c r="F304" s="5">
        <v>6</v>
      </c>
    </row>
    <row r="305" spans="2:6" hidden="1" x14ac:dyDescent="0.3">
      <c r="B305" t="s">
        <v>10</v>
      </c>
      <c r="C305" t="s">
        <v>35</v>
      </c>
      <c r="D305" t="s">
        <v>15</v>
      </c>
      <c r="E305" s="4">
        <v>2562</v>
      </c>
      <c r="F305" s="5">
        <v>6</v>
      </c>
    </row>
    <row r="306" spans="2:6" hidden="1" x14ac:dyDescent="0.3">
      <c r="B306" t="s">
        <v>6</v>
      </c>
      <c r="C306" t="s">
        <v>38</v>
      </c>
      <c r="D306" t="s">
        <v>16</v>
      </c>
      <c r="E306" s="4">
        <v>938</v>
      </c>
      <c r="F306" s="5">
        <v>6</v>
      </c>
    </row>
    <row r="307" spans="2:6" hidden="1" x14ac:dyDescent="0.3">
      <c r="B307" t="s">
        <v>5</v>
      </c>
      <c r="C307" t="s">
        <v>36</v>
      </c>
      <c r="D307" t="s">
        <v>18</v>
      </c>
      <c r="E307" s="4">
        <v>6111</v>
      </c>
      <c r="F307" s="5">
        <v>3</v>
      </c>
    </row>
    <row r="308" spans="2:6" hidden="1" x14ac:dyDescent="0.3">
      <c r="B308" t="s">
        <v>41</v>
      </c>
      <c r="C308" t="s">
        <v>38</v>
      </c>
      <c r="D308" t="s">
        <v>22</v>
      </c>
      <c r="E308" s="4">
        <v>5915</v>
      </c>
      <c r="F308" s="5">
        <v>3</v>
      </c>
    </row>
    <row r="309" spans="2:6" hidden="1" x14ac:dyDescent="0.3">
      <c r="B309" t="s">
        <v>2</v>
      </c>
      <c r="C309" t="s">
        <v>38</v>
      </c>
      <c r="D309" t="s">
        <v>4</v>
      </c>
      <c r="E309" s="4">
        <v>3549</v>
      </c>
      <c r="F309" s="5">
        <v>3</v>
      </c>
    </row>
    <row r="310" spans="2:6" hidden="1" x14ac:dyDescent="0.3">
      <c r="B310" t="s">
        <v>6</v>
      </c>
      <c r="C310" t="s">
        <v>39</v>
      </c>
      <c r="D310" t="s">
        <v>24</v>
      </c>
      <c r="E310" s="4">
        <v>2989</v>
      </c>
      <c r="F310" s="5">
        <v>3</v>
      </c>
    </row>
    <row r="311" spans="2:6" hidden="1" x14ac:dyDescent="0.3">
      <c r="B311" t="s">
        <v>7</v>
      </c>
      <c r="C311" t="s">
        <v>37</v>
      </c>
      <c r="D311" t="s">
        <v>26</v>
      </c>
      <c r="E311" s="4">
        <v>5306</v>
      </c>
      <c r="F311" s="5">
        <v>0</v>
      </c>
    </row>
    <row r="315" spans="2:6" x14ac:dyDescent="0.3">
      <c r="C315" s="6" t="s">
        <v>65</v>
      </c>
    </row>
    <row r="316" spans="2:6" x14ac:dyDescent="0.3">
      <c r="D316" t="s">
        <v>67</v>
      </c>
    </row>
    <row r="317" spans="2:6" x14ac:dyDescent="0.3">
      <c r="D317" t="s">
        <v>64</v>
      </c>
    </row>
  </sheetData>
  <conditionalFormatting sqref="E12:E311">
    <cfRule type="top10" dxfId="2" priority="3" rank="10"/>
  </conditionalFormatting>
  <conditionalFormatting sqref="F12:F311">
    <cfRule type="dataBar" priority="1">
      <dataBar>
        <cfvo type="min"/>
        <cfvo type="max"/>
        <color rgb="FF008AEF"/>
      </dataBar>
      <extLst>
        <ext xmlns:x14="http://schemas.microsoft.com/office/spreadsheetml/2009/9/main" uri="{B025F937-C7B1-47D3-B67F-A62EFF666E3E}">
          <x14:id>{F9F6A55F-2355-46B2-BE30-FA7E228A60FF}</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F9F6A55F-2355-46B2-BE30-FA7E228A60FF}">
            <x14:dataBar minLength="0" maxLength="100" gradient="0">
              <x14:cfvo type="autoMin"/>
              <x14:cfvo type="autoMax"/>
              <x14:negativeFillColor rgb="FFFF0000"/>
              <x14:axisColor rgb="FF000000"/>
            </x14:dataBar>
          </x14:cfRule>
          <xm:sqref>F12:F311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51439-78C1-4B3E-A0EC-4613BE6F9BF8}">
  <dimension ref="B2:P15"/>
  <sheetViews>
    <sheetView showGridLines="0" workbookViewId="0">
      <selection activeCell="D10" sqref="D10"/>
    </sheetView>
  </sheetViews>
  <sheetFormatPr defaultRowHeight="14.4" x14ac:dyDescent="0.3"/>
  <cols>
    <col min="4" max="4" width="11.5546875" bestFit="1" customWidth="1"/>
  </cols>
  <sheetData>
    <row r="2" spans="2:16" ht="61.2" x14ac:dyDescent="1.1000000000000001">
      <c r="B2" s="9" t="s">
        <v>66</v>
      </c>
    </row>
    <row r="6" spans="2:16" x14ac:dyDescent="0.3">
      <c r="B6" t="s">
        <v>69</v>
      </c>
      <c r="L6" s="11" t="s">
        <v>70</v>
      </c>
      <c r="M6" s="11"/>
      <c r="N6" s="11"/>
      <c r="O6" s="11"/>
      <c r="P6" s="11"/>
    </row>
    <row r="7" spans="2:16" x14ac:dyDescent="0.3">
      <c r="C7" s="6" t="s">
        <v>68</v>
      </c>
      <c r="D7" s="12" t="s">
        <v>1</v>
      </c>
      <c r="E7" s="12" t="s">
        <v>47</v>
      </c>
      <c r="L7" s="11"/>
      <c r="M7" s="16" t="s">
        <v>68</v>
      </c>
      <c r="N7" s="17" t="s">
        <v>1</v>
      </c>
      <c r="P7" s="17" t="s">
        <v>47</v>
      </c>
    </row>
    <row r="8" spans="2:16" x14ac:dyDescent="0.3">
      <c r="C8" t="str" cm="1">
        <f t="array" ref="C8:C13">_xlfn.UNIQUE(data1[Geography])</f>
        <v>Australia</v>
      </c>
      <c r="D8" s="13">
        <f>SUMIFS(data1[Amount],data1[Geography],C8)</f>
        <v>168679</v>
      </c>
      <c r="E8" s="5">
        <f>SUMIFS(data1[Units],data1[Geography],C8)</f>
        <v>6264</v>
      </c>
      <c r="L8" s="11"/>
      <c r="M8" s="14" t="s">
        <v>34</v>
      </c>
      <c r="N8" s="15">
        <v>252469</v>
      </c>
      <c r="O8" s="15">
        <f>N8</f>
        <v>252469</v>
      </c>
      <c r="P8" s="18">
        <v>8760</v>
      </c>
    </row>
    <row r="9" spans="2:16" x14ac:dyDescent="0.3">
      <c r="C9" t="str">
        <v>Canada</v>
      </c>
      <c r="D9" s="13">
        <f>SUMIFS(data1[Amount],data1[Geography],C9)</f>
        <v>237944</v>
      </c>
      <c r="E9" s="5">
        <f>SUMIFS(data1[Units],data1[Geography],C9)</f>
        <v>7302</v>
      </c>
      <c r="L9" s="11"/>
      <c r="M9" s="14" t="s">
        <v>36</v>
      </c>
      <c r="N9" s="15">
        <v>237944</v>
      </c>
      <c r="O9" s="15">
        <f t="shared" ref="O9:O13" si="0">N9</f>
        <v>237944</v>
      </c>
      <c r="P9" s="18">
        <v>7302</v>
      </c>
    </row>
    <row r="10" spans="2:16" x14ac:dyDescent="0.3">
      <c r="C10" t="str">
        <v>India</v>
      </c>
      <c r="D10" s="13">
        <f>SUMIFS(data1[Amount],data1[Geography],C10)</f>
        <v>252469</v>
      </c>
      <c r="E10" s="5">
        <f>SUMIFS(data1[Units],data1[Geography],C10)</f>
        <v>8760</v>
      </c>
      <c r="L10" s="11"/>
      <c r="M10" s="14" t="s">
        <v>37</v>
      </c>
      <c r="N10" s="15">
        <v>218813</v>
      </c>
      <c r="O10" s="15">
        <f t="shared" si="0"/>
        <v>218813</v>
      </c>
      <c r="P10" s="18">
        <v>7431</v>
      </c>
    </row>
    <row r="11" spans="2:16" x14ac:dyDescent="0.3">
      <c r="C11" t="str">
        <v>UK</v>
      </c>
      <c r="D11" s="13">
        <f>SUMIFS(data1[Amount],data1[Geography],C11)</f>
        <v>173530</v>
      </c>
      <c r="E11" s="5">
        <f>SUMIFS(data1[Units],data1[Geography],C11)</f>
        <v>5745</v>
      </c>
      <c r="L11" s="11"/>
      <c r="M11" s="14" t="s">
        <v>35</v>
      </c>
      <c r="N11" s="15">
        <v>189434</v>
      </c>
      <c r="O11" s="15">
        <f t="shared" si="0"/>
        <v>189434</v>
      </c>
      <c r="P11" s="18">
        <v>10158</v>
      </c>
    </row>
    <row r="12" spans="2:16" x14ac:dyDescent="0.3">
      <c r="C12" t="str">
        <v>USA</v>
      </c>
      <c r="D12" s="13">
        <f>SUMIFS(data1[Amount],data1[Geography],C12)</f>
        <v>189434</v>
      </c>
      <c r="E12" s="5">
        <f>SUMIFS(data1[Units],data1[Geography],C12)</f>
        <v>10158</v>
      </c>
      <c r="L12" s="11"/>
      <c r="M12" s="14" t="s">
        <v>39</v>
      </c>
      <c r="N12" s="15">
        <v>173530</v>
      </c>
      <c r="O12" s="15">
        <f t="shared" si="0"/>
        <v>173530</v>
      </c>
      <c r="P12" s="18">
        <v>5745</v>
      </c>
    </row>
    <row r="13" spans="2:16" x14ac:dyDescent="0.3">
      <c r="C13" t="str">
        <v>New Zealand</v>
      </c>
      <c r="D13" s="13">
        <f>SUMIFS(data1[Amount],data1[Geography],C13)</f>
        <v>218813</v>
      </c>
      <c r="E13" s="5">
        <f>SUMIFS(data1[Units],data1[Geography],C13)</f>
        <v>7431</v>
      </c>
      <c r="L13" s="11"/>
      <c r="M13" s="14" t="s">
        <v>38</v>
      </c>
      <c r="N13" s="15">
        <v>168679</v>
      </c>
      <c r="O13" s="15">
        <f t="shared" si="0"/>
        <v>168679</v>
      </c>
      <c r="P13" s="18">
        <v>6264</v>
      </c>
    </row>
    <row r="14" spans="2:16" x14ac:dyDescent="0.3">
      <c r="L14" s="11"/>
      <c r="M14" s="11"/>
      <c r="N14" s="11"/>
      <c r="O14" s="11"/>
      <c r="P14" s="11"/>
    </row>
    <row r="15" spans="2:16" x14ac:dyDescent="0.3">
      <c r="L15" s="11"/>
      <c r="M15" s="11"/>
      <c r="N15" s="11"/>
      <c r="O15" s="11"/>
      <c r="P15" s="11"/>
    </row>
  </sheetData>
  <conditionalFormatting sqref="O7">
    <cfRule type="dataBar" priority="2">
      <dataBar>
        <cfvo type="min"/>
        <cfvo type="max"/>
        <color rgb="FF638EC6"/>
      </dataBar>
      <extLst>
        <ext xmlns:x14="http://schemas.microsoft.com/office/spreadsheetml/2009/9/main" uri="{B025F937-C7B1-47D3-B67F-A62EFF666E3E}">
          <x14:id>{15C0CC6A-E902-4785-A930-90646C904725}</x14:id>
        </ext>
      </extLst>
    </cfRule>
  </conditionalFormatting>
  <conditionalFormatting sqref="O8:O13">
    <cfRule type="dataBar" priority="1">
      <dataBar showValue="0">
        <cfvo type="min"/>
        <cfvo type="max"/>
        <color theme="4" tint="0.39997558519241921"/>
      </dataBar>
      <extLst>
        <ext xmlns:x14="http://schemas.microsoft.com/office/spreadsheetml/2009/9/main" uri="{B025F937-C7B1-47D3-B67F-A62EFF666E3E}">
          <x14:id>{D1BB50E0-5134-4E31-BADF-5AD94551806D}</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15C0CC6A-E902-4785-A930-90646C904725}">
            <x14:dataBar minLength="0" maxLength="100" gradient="0">
              <x14:cfvo type="autoMin"/>
              <x14:cfvo type="autoMax"/>
              <x14:negativeFillColor rgb="FFFF0000"/>
              <x14:axisColor rgb="FF000000"/>
            </x14:dataBar>
          </x14:cfRule>
          <xm:sqref>O7</xm:sqref>
        </x14:conditionalFormatting>
        <x14:conditionalFormatting xmlns:xm="http://schemas.microsoft.com/office/excel/2006/main">
          <x14:cfRule type="dataBar" id="{D1BB50E0-5134-4E31-BADF-5AD94551806D}">
            <x14:dataBar minLength="0" maxLength="100" gradient="0">
              <x14:cfvo type="autoMin"/>
              <x14:cfvo type="autoMax"/>
              <x14:negativeFillColor rgb="FFFF0000"/>
              <x14:axisColor rgb="FF000000"/>
            </x14:dataBar>
          </x14:cfRule>
          <xm:sqref>O8:O13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31416-6AD6-4CD3-B8D8-880E5417BB95}">
  <dimension ref="B2:G13"/>
  <sheetViews>
    <sheetView topLeftCell="B1" workbookViewId="0">
      <selection activeCell="G4" sqref="G4"/>
    </sheetView>
  </sheetViews>
  <sheetFormatPr defaultRowHeight="14.4" x14ac:dyDescent="0.3"/>
  <cols>
    <col min="4" max="4" width="12.5546875" bestFit="1" customWidth="1"/>
    <col min="5" max="5" width="14.44140625" bestFit="1" customWidth="1"/>
    <col min="6" max="6" width="13.44140625" customWidth="1"/>
    <col min="7" max="7" width="11.77734375" bestFit="1" customWidth="1"/>
  </cols>
  <sheetData>
    <row r="2" spans="2:7" ht="61.2" x14ac:dyDescent="1.1000000000000001">
      <c r="B2" s="9" t="s">
        <v>71</v>
      </c>
    </row>
    <row r="7" spans="2:7" x14ac:dyDescent="0.3">
      <c r="D7" s="19" t="s">
        <v>72</v>
      </c>
      <c r="E7" t="s">
        <v>74</v>
      </c>
      <c r="F7" t="s">
        <v>54</v>
      </c>
      <c r="G7" t="s">
        <v>75</v>
      </c>
    </row>
    <row r="8" spans="2:7" x14ac:dyDescent="0.3">
      <c r="D8" s="20" t="s">
        <v>34</v>
      </c>
      <c r="E8" s="4">
        <v>33670</v>
      </c>
      <c r="F8" s="4">
        <v>33670</v>
      </c>
      <c r="G8" s="5">
        <v>1515</v>
      </c>
    </row>
    <row r="9" spans="2:7" x14ac:dyDescent="0.3">
      <c r="D9" s="20" t="s">
        <v>36</v>
      </c>
      <c r="E9" s="4">
        <v>27377</v>
      </c>
      <c r="F9" s="4">
        <v>27377</v>
      </c>
      <c r="G9" s="5">
        <v>513</v>
      </c>
    </row>
    <row r="10" spans="2:7" x14ac:dyDescent="0.3">
      <c r="D10" s="20" t="s">
        <v>37</v>
      </c>
      <c r="E10" s="4">
        <v>26985</v>
      </c>
      <c r="F10" s="4">
        <v>26985</v>
      </c>
      <c r="G10" s="5">
        <v>1329</v>
      </c>
    </row>
    <row r="11" spans="2:7" x14ac:dyDescent="0.3">
      <c r="D11" s="20" t="s">
        <v>39</v>
      </c>
      <c r="E11" s="4">
        <v>15827</v>
      </c>
      <c r="F11" s="4">
        <v>15827</v>
      </c>
      <c r="G11" s="5">
        <v>885</v>
      </c>
    </row>
    <row r="12" spans="2:7" x14ac:dyDescent="0.3">
      <c r="D12" s="20" t="s">
        <v>38</v>
      </c>
      <c r="E12" s="4">
        <v>15820</v>
      </c>
      <c r="F12" s="4">
        <v>15820</v>
      </c>
      <c r="G12" s="5">
        <v>711</v>
      </c>
    </row>
    <row r="13" spans="2:7" x14ac:dyDescent="0.3">
      <c r="D13" s="20" t="s">
        <v>35</v>
      </c>
      <c r="E13" s="4">
        <v>11018</v>
      </c>
      <c r="F13" s="4">
        <v>11018</v>
      </c>
      <c r="G13" s="5">
        <v>972</v>
      </c>
    </row>
  </sheetData>
  <conditionalFormatting pivot="1" sqref="F8:F13">
    <cfRule type="dataBar" priority="1">
      <dataBar showValue="0">
        <cfvo type="min"/>
        <cfvo type="max"/>
        <color rgb="FFFFB628"/>
      </dataBar>
      <extLst>
        <ext xmlns:x14="http://schemas.microsoft.com/office/spreadsheetml/2009/9/main" uri="{B025F937-C7B1-47D3-B67F-A62EFF666E3E}">
          <x14:id>{AD9F742B-6E0E-4A29-B50D-2F7A3BF2214B}</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AD9F742B-6E0E-4A29-B50D-2F7A3BF2214B}">
            <x14:dataBar minLength="0" maxLength="100" border="1" negativeBarBorderColorSameAsPositive="0">
              <x14:cfvo type="autoMin"/>
              <x14:cfvo type="autoMax"/>
              <x14:borderColor rgb="FFFFB628"/>
              <x14:negativeFillColor rgb="FFFF0000"/>
              <x14:negativeBorderColor rgb="FFFF0000"/>
              <x14:axisColor rgb="FF000000"/>
            </x14:dataBar>
          </x14:cfRule>
          <xm:sqref>F8:F13</xm:sqref>
        </x14:conditionalFormatting>
      </x14:conditionalFormattings>
    </ex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A58A3-37A5-464A-9F69-F9F8D48DB35B}">
  <dimension ref="B3:D13"/>
  <sheetViews>
    <sheetView workbookViewId="0">
      <selection activeCell="F25" sqref="F25"/>
    </sheetView>
  </sheetViews>
  <sheetFormatPr defaultRowHeight="14.4" x14ac:dyDescent="0.3"/>
  <cols>
    <col min="3" max="3" width="17.77734375" bestFit="1" customWidth="1"/>
    <col min="4" max="5" width="12" bestFit="1" customWidth="1"/>
    <col min="6" max="6" width="19.5546875" customWidth="1"/>
  </cols>
  <sheetData>
    <row r="3" spans="2:4" ht="61.2" x14ac:dyDescent="1.1000000000000001">
      <c r="B3" s="9" t="s">
        <v>76</v>
      </c>
    </row>
    <row r="7" spans="2:4" x14ac:dyDescent="0.3">
      <c r="C7" s="19" t="s">
        <v>72</v>
      </c>
      <c r="D7" t="s">
        <v>77</v>
      </c>
    </row>
    <row r="8" spans="2:4" x14ac:dyDescent="0.3">
      <c r="C8" s="20" t="s">
        <v>15</v>
      </c>
      <c r="D8" s="21">
        <v>44.990867579908674</v>
      </c>
    </row>
    <row r="9" spans="2:4" x14ac:dyDescent="0.3">
      <c r="C9" s="20" t="s">
        <v>33</v>
      </c>
      <c r="D9" s="21">
        <v>37.303128371089535</v>
      </c>
    </row>
    <row r="10" spans="2:4" x14ac:dyDescent="0.3">
      <c r="C10" s="20" t="s">
        <v>24</v>
      </c>
      <c r="D10" s="21">
        <v>33.88697318007663</v>
      </c>
    </row>
    <row r="11" spans="2:4" x14ac:dyDescent="0.3">
      <c r="C11" s="20" t="s">
        <v>26</v>
      </c>
      <c r="D11" s="21">
        <v>32.807189542483663</v>
      </c>
    </row>
    <row r="12" spans="2:4" x14ac:dyDescent="0.3">
      <c r="C12" s="20" t="s">
        <v>22</v>
      </c>
      <c r="D12" s="21">
        <v>32.301656920077974</v>
      </c>
    </row>
    <row r="13" spans="2:4" x14ac:dyDescent="0.3">
      <c r="C13" s="20" t="s">
        <v>73</v>
      </c>
      <c r="D13" s="21">
        <v>35.949565217391303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A8F32-0B49-4DBA-80E8-6A4CCB8FD767}">
  <dimension ref="B2:R308"/>
  <sheetViews>
    <sheetView topLeftCell="A8" zoomScale="97" workbookViewId="0">
      <selection activeCell="G6" sqref="G6"/>
    </sheetView>
  </sheetViews>
  <sheetFormatPr defaultRowHeight="14.4" x14ac:dyDescent="0.3"/>
  <cols>
    <col min="14" max="14" width="15.6640625" customWidth="1"/>
    <col min="15" max="15" width="12.109375" customWidth="1"/>
    <col min="16" max="16" width="24.77734375" customWidth="1"/>
    <col min="17" max="17" width="9.77734375" customWidth="1"/>
  </cols>
  <sheetData>
    <row r="2" spans="2:18" ht="61.2" x14ac:dyDescent="1.1000000000000001">
      <c r="B2" s="9" t="s">
        <v>78</v>
      </c>
    </row>
    <row r="6" spans="2:18" ht="21" x14ac:dyDescent="0.4">
      <c r="D6" s="10" t="s">
        <v>80</v>
      </c>
    </row>
    <row r="8" spans="2:18" x14ac:dyDescent="0.3">
      <c r="N8" t="s">
        <v>11</v>
      </c>
      <c r="O8" t="s">
        <v>12</v>
      </c>
      <c r="P8" t="s">
        <v>0</v>
      </c>
      <c r="Q8" t="s">
        <v>1</v>
      </c>
      <c r="R8" t="s">
        <v>47</v>
      </c>
    </row>
    <row r="9" spans="2:18" x14ac:dyDescent="0.3">
      <c r="N9" t="s">
        <v>10</v>
      </c>
      <c r="O9" t="s">
        <v>38</v>
      </c>
      <c r="P9" t="s">
        <v>14</v>
      </c>
      <c r="Q9" s="4">
        <v>5586</v>
      </c>
      <c r="R9">
        <v>525</v>
      </c>
    </row>
    <row r="10" spans="2:18" x14ac:dyDescent="0.3">
      <c r="N10" t="s">
        <v>2</v>
      </c>
      <c r="O10" t="s">
        <v>36</v>
      </c>
      <c r="P10" t="s">
        <v>27</v>
      </c>
      <c r="Q10" s="4">
        <v>798</v>
      </c>
      <c r="R10">
        <v>519</v>
      </c>
    </row>
    <row r="11" spans="2:18" x14ac:dyDescent="0.3">
      <c r="N11" t="s">
        <v>8</v>
      </c>
      <c r="O11" t="s">
        <v>38</v>
      </c>
      <c r="P11" t="s">
        <v>13</v>
      </c>
      <c r="Q11" s="4">
        <v>819</v>
      </c>
      <c r="R11">
        <v>510</v>
      </c>
    </row>
    <row r="12" spans="2:18" x14ac:dyDescent="0.3">
      <c r="N12" t="s">
        <v>3</v>
      </c>
      <c r="O12" t="s">
        <v>34</v>
      </c>
      <c r="P12" t="s">
        <v>32</v>
      </c>
      <c r="Q12" s="4">
        <v>7777</v>
      </c>
      <c r="R12">
        <v>504</v>
      </c>
    </row>
    <row r="13" spans="2:18" x14ac:dyDescent="0.3">
      <c r="N13" t="s">
        <v>9</v>
      </c>
      <c r="O13" t="s">
        <v>34</v>
      </c>
      <c r="P13" t="s">
        <v>20</v>
      </c>
      <c r="Q13" s="4">
        <v>8463</v>
      </c>
      <c r="R13">
        <v>492</v>
      </c>
    </row>
    <row r="14" spans="2:18" x14ac:dyDescent="0.3">
      <c r="N14" t="s">
        <v>2</v>
      </c>
      <c r="O14" t="s">
        <v>39</v>
      </c>
      <c r="P14" t="s">
        <v>25</v>
      </c>
      <c r="Q14" s="4">
        <v>1785</v>
      </c>
      <c r="R14">
        <v>462</v>
      </c>
    </row>
    <row r="15" spans="2:18" x14ac:dyDescent="0.3">
      <c r="N15" t="s">
        <v>8</v>
      </c>
      <c r="O15" t="s">
        <v>35</v>
      </c>
      <c r="P15" t="s">
        <v>32</v>
      </c>
      <c r="Q15" s="4">
        <v>6706</v>
      </c>
      <c r="R15">
        <v>459</v>
      </c>
    </row>
    <row r="16" spans="2:18" x14ac:dyDescent="0.3">
      <c r="N16" t="s">
        <v>6</v>
      </c>
      <c r="O16" t="s">
        <v>37</v>
      </c>
      <c r="P16" t="s">
        <v>28</v>
      </c>
      <c r="Q16" s="4">
        <v>3556</v>
      </c>
      <c r="R16">
        <v>459</v>
      </c>
    </row>
    <row r="17" spans="14:18" x14ac:dyDescent="0.3">
      <c r="N17" t="s">
        <v>6</v>
      </c>
      <c r="O17" t="s">
        <v>34</v>
      </c>
      <c r="P17" t="s">
        <v>26</v>
      </c>
      <c r="Q17" s="4">
        <v>8008</v>
      </c>
      <c r="R17">
        <v>456</v>
      </c>
    </row>
    <row r="18" spans="14:18" x14ac:dyDescent="0.3">
      <c r="N18" t="s">
        <v>40</v>
      </c>
      <c r="O18" t="s">
        <v>35</v>
      </c>
      <c r="P18" t="s">
        <v>30</v>
      </c>
      <c r="Q18" s="4">
        <v>2275</v>
      </c>
      <c r="R18">
        <v>447</v>
      </c>
    </row>
    <row r="19" spans="14:18" x14ac:dyDescent="0.3">
      <c r="N19" t="s">
        <v>40</v>
      </c>
      <c r="O19" t="s">
        <v>35</v>
      </c>
      <c r="P19" t="s">
        <v>33</v>
      </c>
      <c r="Q19" s="4">
        <v>8869</v>
      </c>
      <c r="R19">
        <v>432</v>
      </c>
    </row>
    <row r="20" spans="14:18" x14ac:dyDescent="0.3">
      <c r="N20" t="s">
        <v>6</v>
      </c>
      <c r="O20" t="s">
        <v>39</v>
      </c>
      <c r="P20" t="s">
        <v>25</v>
      </c>
      <c r="Q20" s="4">
        <v>2100</v>
      </c>
      <c r="R20">
        <v>414</v>
      </c>
    </row>
    <row r="21" spans="14:18" x14ac:dyDescent="0.3">
      <c r="N21" t="s">
        <v>6</v>
      </c>
      <c r="O21" t="s">
        <v>37</v>
      </c>
      <c r="P21" t="s">
        <v>16</v>
      </c>
      <c r="Q21" s="4">
        <v>1904</v>
      </c>
      <c r="R21">
        <v>405</v>
      </c>
    </row>
    <row r="22" spans="14:18" x14ac:dyDescent="0.3">
      <c r="N22" t="s">
        <v>6</v>
      </c>
      <c r="O22" t="s">
        <v>35</v>
      </c>
      <c r="P22" t="s">
        <v>4</v>
      </c>
      <c r="Q22" s="4">
        <v>1302</v>
      </c>
      <c r="R22">
        <v>402</v>
      </c>
    </row>
    <row r="23" spans="14:18" x14ac:dyDescent="0.3">
      <c r="N23" t="s">
        <v>6</v>
      </c>
      <c r="O23" t="s">
        <v>39</v>
      </c>
      <c r="P23" t="s">
        <v>29</v>
      </c>
      <c r="Q23" s="4">
        <v>3052</v>
      </c>
      <c r="R23">
        <v>378</v>
      </c>
    </row>
    <row r="24" spans="14:18" x14ac:dyDescent="0.3">
      <c r="N24" t="s">
        <v>40</v>
      </c>
      <c r="O24" t="s">
        <v>35</v>
      </c>
      <c r="P24" t="s">
        <v>22</v>
      </c>
      <c r="Q24" s="4">
        <v>6853</v>
      </c>
      <c r="R24">
        <v>372</v>
      </c>
    </row>
    <row r="25" spans="14:18" x14ac:dyDescent="0.3">
      <c r="N25" t="s">
        <v>7</v>
      </c>
      <c r="O25" t="s">
        <v>34</v>
      </c>
      <c r="P25" t="s">
        <v>14</v>
      </c>
      <c r="Q25" s="4">
        <v>1932</v>
      </c>
      <c r="R25">
        <v>369</v>
      </c>
    </row>
    <row r="26" spans="14:18" x14ac:dyDescent="0.3">
      <c r="N26" t="s">
        <v>6</v>
      </c>
      <c r="O26" t="s">
        <v>34</v>
      </c>
      <c r="P26" t="s">
        <v>30</v>
      </c>
      <c r="Q26" s="4">
        <v>3402</v>
      </c>
      <c r="R26">
        <v>366</v>
      </c>
    </row>
    <row r="27" spans="14:18" x14ac:dyDescent="0.3">
      <c r="N27" t="s">
        <v>3</v>
      </c>
      <c r="O27" t="s">
        <v>37</v>
      </c>
      <c r="P27" t="s">
        <v>4</v>
      </c>
      <c r="Q27" s="4">
        <v>938</v>
      </c>
      <c r="R27">
        <v>366</v>
      </c>
    </row>
    <row r="28" spans="14:18" x14ac:dyDescent="0.3">
      <c r="N28" t="s">
        <v>8</v>
      </c>
      <c r="O28" t="s">
        <v>35</v>
      </c>
      <c r="P28" t="s">
        <v>20</v>
      </c>
      <c r="Q28" s="4">
        <v>2702</v>
      </c>
      <c r="R28">
        <v>363</v>
      </c>
    </row>
    <row r="29" spans="14:18" x14ac:dyDescent="0.3">
      <c r="N29" t="s">
        <v>5</v>
      </c>
      <c r="O29" t="s">
        <v>35</v>
      </c>
      <c r="P29" t="s">
        <v>29</v>
      </c>
      <c r="Q29" s="4">
        <v>4480</v>
      </c>
      <c r="R29">
        <v>357</v>
      </c>
    </row>
    <row r="30" spans="14:18" x14ac:dyDescent="0.3">
      <c r="N30" t="s">
        <v>2</v>
      </c>
      <c r="O30" t="s">
        <v>38</v>
      </c>
      <c r="P30" t="s">
        <v>31</v>
      </c>
      <c r="Q30" s="4">
        <v>4326</v>
      </c>
      <c r="R30">
        <v>348</v>
      </c>
    </row>
    <row r="31" spans="14:18" x14ac:dyDescent="0.3">
      <c r="N31" t="s">
        <v>5</v>
      </c>
      <c r="O31" t="s">
        <v>36</v>
      </c>
      <c r="P31" t="s">
        <v>17</v>
      </c>
      <c r="Q31" s="4">
        <v>3339</v>
      </c>
      <c r="R31">
        <v>348</v>
      </c>
    </row>
    <row r="32" spans="14:18" x14ac:dyDescent="0.3">
      <c r="N32" t="s">
        <v>10</v>
      </c>
      <c r="O32" t="s">
        <v>36</v>
      </c>
      <c r="P32" t="s">
        <v>29</v>
      </c>
      <c r="Q32" s="4">
        <v>2471</v>
      </c>
      <c r="R32">
        <v>342</v>
      </c>
    </row>
    <row r="33" spans="14:18" x14ac:dyDescent="0.3">
      <c r="N33" t="s">
        <v>5</v>
      </c>
      <c r="O33" t="s">
        <v>34</v>
      </c>
      <c r="P33" t="s">
        <v>20</v>
      </c>
      <c r="Q33" s="4">
        <v>15610</v>
      </c>
      <c r="R33">
        <v>339</v>
      </c>
    </row>
    <row r="34" spans="14:18" x14ac:dyDescent="0.3">
      <c r="N34" t="s">
        <v>7</v>
      </c>
      <c r="O34" t="s">
        <v>37</v>
      </c>
      <c r="P34" t="s">
        <v>16</v>
      </c>
      <c r="Q34" s="4">
        <v>4487</v>
      </c>
      <c r="R34">
        <v>333</v>
      </c>
    </row>
    <row r="35" spans="14:18" x14ac:dyDescent="0.3">
      <c r="N35" t="s">
        <v>3</v>
      </c>
      <c r="O35" t="s">
        <v>37</v>
      </c>
      <c r="P35" t="s">
        <v>28</v>
      </c>
      <c r="Q35" s="4">
        <v>7308</v>
      </c>
      <c r="R35">
        <v>327</v>
      </c>
    </row>
    <row r="36" spans="14:18" x14ac:dyDescent="0.3">
      <c r="N36" t="s">
        <v>3</v>
      </c>
      <c r="O36" t="s">
        <v>37</v>
      </c>
      <c r="P36" t="s">
        <v>29</v>
      </c>
      <c r="Q36" s="4">
        <v>4592</v>
      </c>
      <c r="R36">
        <v>324</v>
      </c>
    </row>
    <row r="37" spans="14:18" x14ac:dyDescent="0.3">
      <c r="N37" t="s">
        <v>7</v>
      </c>
      <c r="O37" t="s">
        <v>38</v>
      </c>
      <c r="P37" t="s">
        <v>30</v>
      </c>
      <c r="Q37" s="4">
        <v>10129</v>
      </c>
      <c r="R37">
        <v>312</v>
      </c>
    </row>
    <row r="38" spans="14:18" x14ac:dyDescent="0.3">
      <c r="N38" t="s">
        <v>3</v>
      </c>
      <c r="O38" t="s">
        <v>34</v>
      </c>
      <c r="P38" t="s">
        <v>28</v>
      </c>
      <c r="Q38" s="4">
        <v>3689</v>
      </c>
      <c r="R38">
        <v>312</v>
      </c>
    </row>
    <row r="39" spans="14:18" x14ac:dyDescent="0.3">
      <c r="N39" t="s">
        <v>41</v>
      </c>
      <c r="O39" t="s">
        <v>36</v>
      </c>
      <c r="P39" t="s">
        <v>28</v>
      </c>
      <c r="Q39" s="4">
        <v>854</v>
      </c>
      <c r="R39">
        <v>309</v>
      </c>
    </row>
    <row r="40" spans="14:18" x14ac:dyDescent="0.3">
      <c r="N40" t="s">
        <v>9</v>
      </c>
      <c r="O40" t="s">
        <v>39</v>
      </c>
      <c r="P40" t="s">
        <v>24</v>
      </c>
      <c r="Q40" s="4">
        <v>3920</v>
      </c>
      <c r="R40">
        <v>306</v>
      </c>
    </row>
    <row r="41" spans="14:18" x14ac:dyDescent="0.3">
      <c r="N41" t="s">
        <v>40</v>
      </c>
      <c r="O41" t="s">
        <v>36</v>
      </c>
      <c r="P41" t="s">
        <v>27</v>
      </c>
      <c r="Q41" s="4">
        <v>3164</v>
      </c>
      <c r="R41">
        <v>306</v>
      </c>
    </row>
    <row r="42" spans="14:18" x14ac:dyDescent="0.3">
      <c r="N42" t="s">
        <v>3</v>
      </c>
      <c r="O42" t="s">
        <v>35</v>
      </c>
      <c r="P42" t="s">
        <v>33</v>
      </c>
      <c r="Q42" s="4">
        <v>819</v>
      </c>
      <c r="R42">
        <v>306</v>
      </c>
    </row>
    <row r="43" spans="14:18" x14ac:dyDescent="0.3">
      <c r="N43" t="s">
        <v>3</v>
      </c>
      <c r="O43" t="s">
        <v>38</v>
      </c>
      <c r="P43" t="s">
        <v>26</v>
      </c>
      <c r="Q43" s="4">
        <v>8841</v>
      </c>
      <c r="R43">
        <v>303</v>
      </c>
    </row>
    <row r="44" spans="14:18" x14ac:dyDescent="0.3">
      <c r="N44" t="s">
        <v>10</v>
      </c>
      <c r="O44" t="s">
        <v>36</v>
      </c>
      <c r="P44" t="s">
        <v>32</v>
      </c>
      <c r="Q44" s="4">
        <v>6657</v>
      </c>
      <c r="R44">
        <v>303</v>
      </c>
    </row>
    <row r="45" spans="14:18" x14ac:dyDescent="0.3">
      <c r="N45" t="s">
        <v>2</v>
      </c>
      <c r="O45" t="s">
        <v>35</v>
      </c>
      <c r="P45" t="s">
        <v>17</v>
      </c>
      <c r="Q45" s="4">
        <v>1589</v>
      </c>
      <c r="R45">
        <v>303</v>
      </c>
    </row>
    <row r="46" spans="14:18" x14ac:dyDescent="0.3">
      <c r="N46" t="s">
        <v>8</v>
      </c>
      <c r="O46" t="s">
        <v>35</v>
      </c>
      <c r="P46" t="s">
        <v>27</v>
      </c>
      <c r="Q46" s="4">
        <v>4753</v>
      </c>
      <c r="R46">
        <v>300</v>
      </c>
    </row>
    <row r="47" spans="14:18" x14ac:dyDescent="0.3">
      <c r="N47" t="s">
        <v>7</v>
      </c>
      <c r="O47" t="s">
        <v>36</v>
      </c>
      <c r="P47" t="s">
        <v>19</v>
      </c>
      <c r="Q47" s="4">
        <v>2870</v>
      </c>
      <c r="R47">
        <v>300</v>
      </c>
    </row>
    <row r="48" spans="14:18" x14ac:dyDescent="0.3">
      <c r="N48" t="s">
        <v>40</v>
      </c>
      <c r="O48" t="s">
        <v>38</v>
      </c>
      <c r="P48" t="s">
        <v>13</v>
      </c>
      <c r="Q48" s="4">
        <v>5670</v>
      </c>
      <c r="R48">
        <v>297</v>
      </c>
    </row>
    <row r="49" spans="14:18" x14ac:dyDescent="0.3">
      <c r="N49" t="s">
        <v>41</v>
      </c>
      <c r="O49" t="s">
        <v>36</v>
      </c>
      <c r="P49" t="s">
        <v>18</v>
      </c>
      <c r="Q49" s="4">
        <v>9632</v>
      </c>
      <c r="R49">
        <v>288</v>
      </c>
    </row>
    <row r="50" spans="14:18" x14ac:dyDescent="0.3">
      <c r="N50" t="s">
        <v>7</v>
      </c>
      <c r="O50" t="s">
        <v>35</v>
      </c>
      <c r="P50" t="s">
        <v>28</v>
      </c>
      <c r="Q50" s="4">
        <v>5194</v>
      </c>
      <c r="R50">
        <v>288</v>
      </c>
    </row>
    <row r="51" spans="14:18" x14ac:dyDescent="0.3">
      <c r="N51" t="s">
        <v>8</v>
      </c>
      <c r="O51" t="s">
        <v>34</v>
      </c>
      <c r="P51" t="s">
        <v>31</v>
      </c>
      <c r="Q51" s="4">
        <v>3507</v>
      </c>
      <c r="R51">
        <v>288</v>
      </c>
    </row>
    <row r="52" spans="14:18" x14ac:dyDescent="0.3">
      <c r="N52" t="s">
        <v>10</v>
      </c>
      <c r="O52" t="s">
        <v>37</v>
      </c>
      <c r="P52" t="s">
        <v>21</v>
      </c>
      <c r="Q52" s="4">
        <v>245</v>
      </c>
      <c r="R52">
        <v>288</v>
      </c>
    </row>
    <row r="53" spans="14:18" x14ac:dyDescent="0.3">
      <c r="N53" t="s">
        <v>6</v>
      </c>
      <c r="O53" t="s">
        <v>38</v>
      </c>
      <c r="P53" t="s">
        <v>27</v>
      </c>
      <c r="Q53" s="4">
        <v>1134</v>
      </c>
      <c r="R53">
        <v>282</v>
      </c>
    </row>
    <row r="54" spans="14:18" x14ac:dyDescent="0.3">
      <c r="N54" t="s">
        <v>10</v>
      </c>
      <c r="O54" t="s">
        <v>39</v>
      </c>
      <c r="P54" t="s">
        <v>21</v>
      </c>
      <c r="Q54" s="4">
        <v>4858</v>
      </c>
      <c r="R54">
        <v>279</v>
      </c>
    </row>
    <row r="55" spans="14:18" x14ac:dyDescent="0.3">
      <c r="N55" t="s">
        <v>10</v>
      </c>
      <c r="O55" t="s">
        <v>35</v>
      </c>
      <c r="P55" t="s">
        <v>18</v>
      </c>
      <c r="Q55" s="4">
        <v>3808</v>
      </c>
      <c r="R55">
        <v>279</v>
      </c>
    </row>
    <row r="56" spans="14:18" x14ac:dyDescent="0.3">
      <c r="N56" t="s">
        <v>3</v>
      </c>
      <c r="O56" t="s">
        <v>34</v>
      </c>
      <c r="P56" t="s">
        <v>14</v>
      </c>
      <c r="Q56" s="4">
        <v>7259</v>
      </c>
      <c r="R56">
        <v>276</v>
      </c>
    </row>
    <row r="57" spans="14:18" x14ac:dyDescent="0.3">
      <c r="N57" t="s">
        <v>3</v>
      </c>
      <c r="O57" t="s">
        <v>35</v>
      </c>
      <c r="P57" t="s">
        <v>15</v>
      </c>
      <c r="Q57" s="4">
        <v>6657</v>
      </c>
      <c r="R57">
        <v>276</v>
      </c>
    </row>
    <row r="58" spans="14:18" x14ac:dyDescent="0.3">
      <c r="N58" t="s">
        <v>9</v>
      </c>
      <c r="O58" t="s">
        <v>37</v>
      </c>
      <c r="P58" t="s">
        <v>29</v>
      </c>
      <c r="Q58" s="4">
        <v>1085</v>
      </c>
      <c r="R58">
        <v>273</v>
      </c>
    </row>
    <row r="59" spans="14:18" x14ac:dyDescent="0.3">
      <c r="N59" t="s">
        <v>7</v>
      </c>
      <c r="O59" t="s">
        <v>38</v>
      </c>
      <c r="P59" t="s">
        <v>18</v>
      </c>
      <c r="Q59" s="4">
        <v>1778</v>
      </c>
      <c r="R59">
        <v>270</v>
      </c>
    </row>
    <row r="60" spans="14:18" x14ac:dyDescent="0.3">
      <c r="N60" t="s">
        <v>6</v>
      </c>
      <c r="O60" t="s">
        <v>35</v>
      </c>
      <c r="P60" t="s">
        <v>20</v>
      </c>
      <c r="Q60" s="4">
        <v>1071</v>
      </c>
      <c r="R60">
        <v>270</v>
      </c>
    </row>
    <row r="61" spans="14:18" x14ac:dyDescent="0.3">
      <c r="N61" t="s">
        <v>10</v>
      </c>
      <c r="O61" t="s">
        <v>36</v>
      </c>
      <c r="P61" t="s">
        <v>23</v>
      </c>
      <c r="Q61" s="4">
        <v>2317</v>
      </c>
      <c r="R61">
        <v>261</v>
      </c>
    </row>
    <row r="62" spans="14:18" x14ac:dyDescent="0.3">
      <c r="N62" t="s">
        <v>7</v>
      </c>
      <c r="O62" t="s">
        <v>38</v>
      </c>
      <c r="P62" t="s">
        <v>28</v>
      </c>
      <c r="Q62" s="4">
        <v>5677</v>
      </c>
      <c r="R62">
        <v>258</v>
      </c>
    </row>
    <row r="63" spans="14:18" x14ac:dyDescent="0.3">
      <c r="N63" t="s">
        <v>3</v>
      </c>
      <c r="O63" t="s">
        <v>35</v>
      </c>
      <c r="P63" t="s">
        <v>14</v>
      </c>
      <c r="Q63" s="4">
        <v>2415</v>
      </c>
      <c r="R63">
        <v>255</v>
      </c>
    </row>
    <row r="64" spans="14:18" x14ac:dyDescent="0.3">
      <c r="N64" t="s">
        <v>7</v>
      </c>
      <c r="O64" t="s">
        <v>35</v>
      </c>
      <c r="P64" t="s">
        <v>30</v>
      </c>
      <c r="Q64" s="4">
        <v>6755</v>
      </c>
      <c r="R64">
        <v>252</v>
      </c>
    </row>
    <row r="65" spans="14:18" x14ac:dyDescent="0.3">
      <c r="N65" t="s">
        <v>7</v>
      </c>
      <c r="O65" t="s">
        <v>36</v>
      </c>
      <c r="P65" t="s">
        <v>29</v>
      </c>
      <c r="Q65" s="4">
        <v>5551</v>
      </c>
      <c r="R65">
        <v>252</v>
      </c>
    </row>
    <row r="66" spans="14:18" x14ac:dyDescent="0.3">
      <c r="N66" t="s">
        <v>5</v>
      </c>
      <c r="O66" t="s">
        <v>39</v>
      </c>
      <c r="P66" t="s">
        <v>18</v>
      </c>
      <c r="Q66" s="4">
        <v>385</v>
      </c>
      <c r="R66">
        <v>249</v>
      </c>
    </row>
    <row r="67" spans="14:18" x14ac:dyDescent="0.3">
      <c r="N67" t="s">
        <v>5</v>
      </c>
      <c r="O67" t="s">
        <v>35</v>
      </c>
      <c r="P67" t="s">
        <v>31</v>
      </c>
      <c r="Q67" s="4">
        <v>4753</v>
      </c>
      <c r="R67">
        <v>246</v>
      </c>
    </row>
    <row r="68" spans="14:18" x14ac:dyDescent="0.3">
      <c r="N68" t="s">
        <v>7</v>
      </c>
      <c r="O68" t="s">
        <v>39</v>
      </c>
      <c r="P68" t="s">
        <v>17</v>
      </c>
      <c r="Q68" s="4">
        <v>4438</v>
      </c>
      <c r="R68">
        <v>246</v>
      </c>
    </row>
    <row r="69" spans="14:18" x14ac:dyDescent="0.3">
      <c r="N69" t="s">
        <v>2</v>
      </c>
      <c r="O69" t="s">
        <v>36</v>
      </c>
      <c r="P69" t="s">
        <v>31</v>
      </c>
      <c r="Q69" s="4">
        <v>3094</v>
      </c>
      <c r="R69">
        <v>246</v>
      </c>
    </row>
    <row r="70" spans="14:18" x14ac:dyDescent="0.3">
      <c r="N70" t="s">
        <v>9</v>
      </c>
      <c r="O70" t="s">
        <v>37</v>
      </c>
      <c r="P70" t="s">
        <v>26</v>
      </c>
      <c r="Q70" s="4">
        <v>2856</v>
      </c>
      <c r="R70">
        <v>246</v>
      </c>
    </row>
    <row r="71" spans="14:18" x14ac:dyDescent="0.3">
      <c r="N71" t="s">
        <v>9</v>
      </c>
      <c r="O71" t="s">
        <v>35</v>
      </c>
      <c r="P71" t="s">
        <v>15</v>
      </c>
      <c r="Q71" s="4">
        <v>7833</v>
      </c>
      <c r="R71">
        <v>243</v>
      </c>
    </row>
    <row r="72" spans="14:18" x14ac:dyDescent="0.3">
      <c r="N72" t="s">
        <v>7</v>
      </c>
      <c r="O72" t="s">
        <v>35</v>
      </c>
      <c r="P72" t="s">
        <v>19</v>
      </c>
      <c r="Q72" s="4">
        <v>4585</v>
      </c>
      <c r="R72">
        <v>240</v>
      </c>
    </row>
    <row r="73" spans="14:18" x14ac:dyDescent="0.3">
      <c r="N73" t="s">
        <v>41</v>
      </c>
      <c r="O73" t="s">
        <v>37</v>
      </c>
      <c r="P73" t="s">
        <v>30</v>
      </c>
      <c r="Q73" s="4">
        <v>1526</v>
      </c>
      <c r="R73">
        <v>240</v>
      </c>
    </row>
    <row r="74" spans="14:18" x14ac:dyDescent="0.3">
      <c r="N74" t="s">
        <v>5</v>
      </c>
      <c r="O74" t="s">
        <v>34</v>
      </c>
      <c r="P74" t="s">
        <v>22</v>
      </c>
      <c r="Q74" s="4">
        <v>6279</v>
      </c>
      <c r="R74">
        <v>237</v>
      </c>
    </row>
    <row r="75" spans="14:18" x14ac:dyDescent="0.3">
      <c r="N75" t="s">
        <v>40</v>
      </c>
      <c r="O75" t="s">
        <v>35</v>
      </c>
      <c r="P75" t="s">
        <v>32</v>
      </c>
      <c r="Q75" s="4">
        <v>12348</v>
      </c>
      <c r="R75">
        <v>234</v>
      </c>
    </row>
    <row r="76" spans="14:18" x14ac:dyDescent="0.3">
      <c r="N76" t="s">
        <v>3</v>
      </c>
      <c r="O76" t="s">
        <v>35</v>
      </c>
      <c r="P76" t="s">
        <v>25</v>
      </c>
      <c r="Q76" s="4">
        <v>2464</v>
      </c>
      <c r="R76">
        <v>234</v>
      </c>
    </row>
    <row r="77" spans="14:18" x14ac:dyDescent="0.3">
      <c r="N77" t="s">
        <v>8</v>
      </c>
      <c r="O77" t="s">
        <v>38</v>
      </c>
      <c r="P77" t="s">
        <v>23</v>
      </c>
      <c r="Q77" s="4">
        <v>1701</v>
      </c>
      <c r="R77">
        <v>234</v>
      </c>
    </row>
    <row r="78" spans="14:18" x14ac:dyDescent="0.3">
      <c r="N78" t="s">
        <v>41</v>
      </c>
      <c r="O78" t="s">
        <v>36</v>
      </c>
      <c r="P78" t="s">
        <v>13</v>
      </c>
      <c r="Q78" s="4">
        <v>10311</v>
      </c>
      <c r="R78">
        <v>231</v>
      </c>
    </row>
    <row r="79" spans="14:18" x14ac:dyDescent="0.3">
      <c r="N79" t="s">
        <v>41</v>
      </c>
      <c r="O79" t="s">
        <v>37</v>
      </c>
      <c r="P79" t="s">
        <v>15</v>
      </c>
      <c r="Q79" s="4">
        <v>714</v>
      </c>
      <c r="R79">
        <v>231</v>
      </c>
    </row>
    <row r="80" spans="14:18" x14ac:dyDescent="0.3">
      <c r="N80" t="s">
        <v>10</v>
      </c>
      <c r="O80" t="s">
        <v>35</v>
      </c>
      <c r="P80" t="s">
        <v>21</v>
      </c>
      <c r="Q80" s="4">
        <v>567</v>
      </c>
      <c r="R80">
        <v>228</v>
      </c>
    </row>
    <row r="81" spans="14:18" x14ac:dyDescent="0.3">
      <c r="N81" t="s">
        <v>7</v>
      </c>
      <c r="O81" t="s">
        <v>37</v>
      </c>
      <c r="P81" t="s">
        <v>14</v>
      </c>
      <c r="Q81" s="4">
        <v>6608</v>
      </c>
      <c r="R81">
        <v>225</v>
      </c>
    </row>
    <row r="82" spans="14:18" x14ac:dyDescent="0.3">
      <c r="N82" t="s">
        <v>40</v>
      </c>
      <c r="O82" t="s">
        <v>39</v>
      </c>
      <c r="P82" t="s">
        <v>28</v>
      </c>
      <c r="Q82" s="4">
        <v>3101</v>
      </c>
      <c r="R82">
        <v>225</v>
      </c>
    </row>
    <row r="83" spans="14:18" x14ac:dyDescent="0.3">
      <c r="N83" t="s">
        <v>41</v>
      </c>
      <c r="O83" t="s">
        <v>34</v>
      </c>
      <c r="P83" t="s">
        <v>16</v>
      </c>
      <c r="Q83" s="4">
        <v>1274</v>
      </c>
      <c r="R83">
        <v>225</v>
      </c>
    </row>
    <row r="84" spans="14:18" x14ac:dyDescent="0.3">
      <c r="N84" t="s">
        <v>8</v>
      </c>
      <c r="O84" t="s">
        <v>34</v>
      </c>
      <c r="P84" t="s">
        <v>16</v>
      </c>
      <c r="Q84" s="4">
        <v>2009</v>
      </c>
      <c r="R84">
        <v>219</v>
      </c>
    </row>
    <row r="85" spans="14:18" x14ac:dyDescent="0.3">
      <c r="N85" t="s">
        <v>41</v>
      </c>
      <c r="O85" t="s">
        <v>35</v>
      </c>
      <c r="P85" t="s">
        <v>28</v>
      </c>
      <c r="Q85" s="4">
        <v>7455</v>
      </c>
      <c r="R85">
        <v>216</v>
      </c>
    </row>
    <row r="86" spans="14:18" x14ac:dyDescent="0.3">
      <c r="N86" t="s">
        <v>2</v>
      </c>
      <c r="O86" t="s">
        <v>39</v>
      </c>
      <c r="P86" t="s">
        <v>21</v>
      </c>
      <c r="Q86" s="4">
        <v>7651</v>
      </c>
      <c r="R86">
        <v>213</v>
      </c>
    </row>
    <row r="87" spans="14:18" x14ac:dyDescent="0.3">
      <c r="N87" t="s">
        <v>8</v>
      </c>
      <c r="O87" t="s">
        <v>38</v>
      </c>
      <c r="P87" t="s">
        <v>32</v>
      </c>
      <c r="Q87" s="4">
        <v>3752</v>
      </c>
      <c r="R87">
        <v>213</v>
      </c>
    </row>
    <row r="88" spans="14:18" x14ac:dyDescent="0.3">
      <c r="N88" t="s">
        <v>8</v>
      </c>
      <c r="O88" t="s">
        <v>39</v>
      </c>
      <c r="P88" t="s">
        <v>31</v>
      </c>
      <c r="Q88" s="4">
        <v>8890</v>
      </c>
      <c r="R88">
        <v>210</v>
      </c>
    </row>
    <row r="89" spans="14:18" x14ac:dyDescent="0.3">
      <c r="N89" t="s">
        <v>8</v>
      </c>
      <c r="O89" t="s">
        <v>35</v>
      </c>
      <c r="P89" t="s">
        <v>22</v>
      </c>
      <c r="Q89" s="4">
        <v>5012</v>
      </c>
      <c r="R89">
        <v>210</v>
      </c>
    </row>
    <row r="90" spans="14:18" x14ac:dyDescent="0.3">
      <c r="N90" t="s">
        <v>7</v>
      </c>
      <c r="O90" t="s">
        <v>37</v>
      </c>
      <c r="P90" t="s">
        <v>22</v>
      </c>
      <c r="Q90" s="4">
        <v>9835</v>
      </c>
      <c r="R90">
        <v>207</v>
      </c>
    </row>
    <row r="91" spans="14:18" x14ac:dyDescent="0.3">
      <c r="N91" t="s">
        <v>6</v>
      </c>
      <c r="O91" t="s">
        <v>34</v>
      </c>
      <c r="P91" t="s">
        <v>27</v>
      </c>
      <c r="Q91" s="4">
        <v>4242</v>
      </c>
      <c r="R91">
        <v>207</v>
      </c>
    </row>
    <row r="92" spans="14:18" x14ac:dyDescent="0.3">
      <c r="N92" t="s">
        <v>9</v>
      </c>
      <c r="O92" t="s">
        <v>37</v>
      </c>
      <c r="P92" t="s">
        <v>4</v>
      </c>
      <c r="Q92" s="4">
        <v>259</v>
      </c>
      <c r="R92">
        <v>207</v>
      </c>
    </row>
    <row r="93" spans="14:18" x14ac:dyDescent="0.3">
      <c r="N93" t="s">
        <v>9</v>
      </c>
      <c r="O93" t="s">
        <v>36</v>
      </c>
      <c r="P93" t="s">
        <v>27</v>
      </c>
      <c r="Q93" s="4">
        <v>11522</v>
      </c>
      <c r="R93">
        <v>204</v>
      </c>
    </row>
    <row r="94" spans="14:18" x14ac:dyDescent="0.3">
      <c r="N94" t="s">
        <v>10</v>
      </c>
      <c r="O94" t="s">
        <v>34</v>
      </c>
      <c r="P94" t="s">
        <v>19</v>
      </c>
      <c r="Q94" s="4">
        <v>5355</v>
      </c>
      <c r="R94">
        <v>204</v>
      </c>
    </row>
    <row r="95" spans="14:18" x14ac:dyDescent="0.3">
      <c r="N95" t="s">
        <v>9</v>
      </c>
      <c r="O95" t="s">
        <v>39</v>
      </c>
      <c r="P95" t="s">
        <v>18</v>
      </c>
      <c r="Q95" s="4">
        <v>2639</v>
      </c>
      <c r="R95">
        <v>204</v>
      </c>
    </row>
    <row r="96" spans="14:18" x14ac:dyDescent="0.3">
      <c r="N96" t="s">
        <v>8</v>
      </c>
      <c r="O96" t="s">
        <v>37</v>
      </c>
      <c r="P96" t="s">
        <v>19</v>
      </c>
      <c r="Q96" s="4">
        <v>1771</v>
      </c>
      <c r="R96">
        <v>204</v>
      </c>
    </row>
    <row r="97" spans="14:18" x14ac:dyDescent="0.3">
      <c r="N97" t="s">
        <v>41</v>
      </c>
      <c r="O97" t="s">
        <v>36</v>
      </c>
      <c r="P97" t="s">
        <v>26</v>
      </c>
      <c r="Q97" s="4">
        <v>98</v>
      </c>
      <c r="R97">
        <v>204</v>
      </c>
    </row>
    <row r="98" spans="14:18" x14ac:dyDescent="0.3">
      <c r="N98" t="s">
        <v>5</v>
      </c>
      <c r="O98" t="s">
        <v>35</v>
      </c>
      <c r="P98" t="s">
        <v>15</v>
      </c>
      <c r="Q98" s="4">
        <v>13391</v>
      </c>
      <c r="R98">
        <v>201</v>
      </c>
    </row>
    <row r="99" spans="14:18" x14ac:dyDescent="0.3">
      <c r="N99" t="s">
        <v>2</v>
      </c>
      <c r="O99" t="s">
        <v>37</v>
      </c>
      <c r="P99" t="s">
        <v>17</v>
      </c>
      <c r="Q99" s="4">
        <v>9926</v>
      </c>
      <c r="R99">
        <v>201</v>
      </c>
    </row>
    <row r="100" spans="14:18" x14ac:dyDescent="0.3">
      <c r="N100" t="s">
        <v>5</v>
      </c>
      <c r="O100" t="s">
        <v>34</v>
      </c>
      <c r="P100" t="s">
        <v>15</v>
      </c>
      <c r="Q100" s="4">
        <v>7280</v>
      </c>
      <c r="R100">
        <v>201</v>
      </c>
    </row>
    <row r="101" spans="14:18" x14ac:dyDescent="0.3">
      <c r="N101" t="s">
        <v>40</v>
      </c>
      <c r="O101" t="s">
        <v>36</v>
      </c>
      <c r="P101" t="s">
        <v>13</v>
      </c>
      <c r="Q101" s="4">
        <v>4424</v>
      </c>
      <c r="R101">
        <v>201</v>
      </c>
    </row>
    <row r="102" spans="14:18" x14ac:dyDescent="0.3">
      <c r="N102" t="s">
        <v>7</v>
      </c>
      <c r="O102" t="s">
        <v>39</v>
      </c>
      <c r="P102" t="s">
        <v>27</v>
      </c>
      <c r="Q102" s="4">
        <v>966</v>
      </c>
      <c r="R102">
        <v>198</v>
      </c>
    </row>
    <row r="103" spans="14:18" x14ac:dyDescent="0.3">
      <c r="N103" t="s">
        <v>10</v>
      </c>
      <c r="O103" t="s">
        <v>35</v>
      </c>
      <c r="P103" t="s">
        <v>20</v>
      </c>
      <c r="Q103" s="4">
        <v>1974</v>
      </c>
      <c r="R103">
        <v>195</v>
      </c>
    </row>
    <row r="104" spans="14:18" x14ac:dyDescent="0.3">
      <c r="N104" t="s">
        <v>8</v>
      </c>
      <c r="O104" t="s">
        <v>37</v>
      </c>
      <c r="P104" t="s">
        <v>22</v>
      </c>
      <c r="Q104" s="4">
        <v>1890</v>
      </c>
      <c r="R104">
        <v>195</v>
      </c>
    </row>
    <row r="105" spans="14:18" x14ac:dyDescent="0.3">
      <c r="N105" t="s">
        <v>5</v>
      </c>
      <c r="O105" t="s">
        <v>34</v>
      </c>
      <c r="P105" t="s">
        <v>19</v>
      </c>
      <c r="Q105" s="4">
        <v>861</v>
      </c>
      <c r="R105">
        <v>195</v>
      </c>
    </row>
    <row r="106" spans="14:18" x14ac:dyDescent="0.3">
      <c r="N106" t="s">
        <v>41</v>
      </c>
      <c r="O106" t="s">
        <v>36</v>
      </c>
      <c r="P106" t="s">
        <v>19</v>
      </c>
      <c r="Q106" s="4">
        <v>1925</v>
      </c>
      <c r="R106">
        <v>192</v>
      </c>
    </row>
    <row r="107" spans="14:18" x14ac:dyDescent="0.3">
      <c r="N107" t="s">
        <v>7</v>
      </c>
      <c r="O107" t="s">
        <v>34</v>
      </c>
      <c r="P107" t="s">
        <v>24</v>
      </c>
      <c r="Q107" s="4">
        <v>8862</v>
      </c>
      <c r="R107">
        <v>189</v>
      </c>
    </row>
    <row r="108" spans="14:18" x14ac:dyDescent="0.3">
      <c r="N108" t="s">
        <v>6</v>
      </c>
      <c r="O108" t="s">
        <v>37</v>
      </c>
      <c r="P108" t="s">
        <v>23</v>
      </c>
      <c r="Q108" s="4">
        <v>4949</v>
      </c>
      <c r="R108">
        <v>189</v>
      </c>
    </row>
    <row r="109" spans="14:18" x14ac:dyDescent="0.3">
      <c r="N109" t="s">
        <v>9</v>
      </c>
      <c r="O109" t="s">
        <v>36</v>
      </c>
      <c r="P109" t="s">
        <v>32</v>
      </c>
      <c r="Q109" s="4">
        <v>2954</v>
      </c>
      <c r="R109">
        <v>189</v>
      </c>
    </row>
    <row r="110" spans="14:18" x14ac:dyDescent="0.3">
      <c r="N110" t="s">
        <v>9</v>
      </c>
      <c r="O110" t="s">
        <v>34</v>
      </c>
      <c r="P110" t="s">
        <v>16</v>
      </c>
      <c r="Q110" s="4">
        <v>938</v>
      </c>
      <c r="R110">
        <v>189</v>
      </c>
    </row>
    <row r="111" spans="14:18" x14ac:dyDescent="0.3">
      <c r="N111" t="s">
        <v>41</v>
      </c>
      <c r="O111" t="s">
        <v>35</v>
      </c>
      <c r="P111" t="s">
        <v>15</v>
      </c>
      <c r="Q111" s="4">
        <v>2114</v>
      </c>
      <c r="R111">
        <v>186</v>
      </c>
    </row>
    <row r="112" spans="14:18" x14ac:dyDescent="0.3">
      <c r="N112" t="s">
        <v>8</v>
      </c>
      <c r="O112" t="s">
        <v>39</v>
      </c>
      <c r="P112" t="s">
        <v>30</v>
      </c>
      <c r="Q112" s="4">
        <v>7021</v>
      </c>
      <c r="R112">
        <v>183</v>
      </c>
    </row>
    <row r="113" spans="14:18" x14ac:dyDescent="0.3">
      <c r="N113" t="s">
        <v>2</v>
      </c>
      <c r="O113" t="s">
        <v>38</v>
      </c>
      <c r="P113" t="s">
        <v>28</v>
      </c>
      <c r="Q113" s="4">
        <v>6580</v>
      </c>
      <c r="R113">
        <v>183</v>
      </c>
    </row>
    <row r="114" spans="14:18" x14ac:dyDescent="0.3">
      <c r="N114" t="s">
        <v>6</v>
      </c>
      <c r="O114" t="s">
        <v>35</v>
      </c>
      <c r="P114" t="s">
        <v>27</v>
      </c>
      <c r="Q114" s="4">
        <v>3864</v>
      </c>
      <c r="R114">
        <v>177</v>
      </c>
    </row>
    <row r="115" spans="14:18" x14ac:dyDescent="0.3">
      <c r="N115" t="s">
        <v>7</v>
      </c>
      <c r="O115" t="s">
        <v>36</v>
      </c>
      <c r="P115" t="s">
        <v>18</v>
      </c>
      <c r="Q115" s="4">
        <v>2646</v>
      </c>
      <c r="R115">
        <v>177</v>
      </c>
    </row>
    <row r="116" spans="14:18" x14ac:dyDescent="0.3">
      <c r="N116" t="s">
        <v>41</v>
      </c>
      <c r="O116" t="s">
        <v>37</v>
      </c>
      <c r="P116" t="s">
        <v>26</v>
      </c>
      <c r="Q116" s="4">
        <v>2324</v>
      </c>
      <c r="R116">
        <v>177</v>
      </c>
    </row>
    <row r="117" spans="14:18" x14ac:dyDescent="0.3">
      <c r="N117" t="s">
        <v>41</v>
      </c>
      <c r="O117" t="s">
        <v>34</v>
      </c>
      <c r="P117" t="s">
        <v>33</v>
      </c>
      <c r="Q117" s="4">
        <v>7847</v>
      </c>
      <c r="R117">
        <v>174</v>
      </c>
    </row>
    <row r="118" spans="14:18" x14ac:dyDescent="0.3">
      <c r="N118" t="s">
        <v>41</v>
      </c>
      <c r="O118" t="s">
        <v>36</v>
      </c>
      <c r="P118" t="s">
        <v>30</v>
      </c>
      <c r="Q118" s="4">
        <v>6118</v>
      </c>
      <c r="R118">
        <v>174</v>
      </c>
    </row>
    <row r="119" spans="14:18" x14ac:dyDescent="0.3">
      <c r="N119" t="s">
        <v>40</v>
      </c>
      <c r="O119" t="s">
        <v>35</v>
      </c>
      <c r="P119" t="s">
        <v>16</v>
      </c>
      <c r="Q119" s="4">
        <v>4725</v>
      </c>
      <c r="R119">
        <v>174</v>
      </c>
    </row>
    <row r="120" spans="14:18" x14ac:dyDescent="0.3">
      <c r="N120" t="s">
        <v>9</v>
      </c>
      <c r="O120" t="s">
        <v>34</v>
      </c>
      <c r="P120" t="s">
        <v>17</v>
      </c>
      <c r="Q120" s="4">
        <v>707</v>
      </c>
      <c r="R120">
        <v>174</v>
      </c>
    </row>
    <row r="121" spans="14:18" x14ac:dyDescent="0.3">
      <c r="N121" t="s">
        <v>3</v>
      </c>
      <c r="O121" t="s">
        <v>39</v>
      </c>
      <c r="P121" t="s">
        <v>26</v>
      </c>
      <c r="Q121" s="4">
        <v>4956</v>
      </c>
      <c r="R121">
        <v>171</v>
      </c>
    </row>
    <row r="122" spans="14:18" x14ac:dyDescent="0.3">
      <c r="N122" t="s">
        <v>5</v>
      </c>
      <c r="O122" t="s">
        <v>39</v>
      </c>
      <c r="P122" t="s">
        <v>24</v>
      </c>
      <c r="Q122" s="4">
        <v>4018</v>
      </c>
      <c r="R122">
        <v>171</v>
      </c>
    </row>
    <row r="123" spans="14:18" x14ac:dyDescent="0.3">
      <c r="N123" t="s">
        <v>5</v>
      </c>
      <c r="O123" t="s">
        <v>38</v>
      </c>
      <c r="P123" t="s">
        <v>19</v>
      </c>
      <c r="Q123" s="4">
        <v>5474</v>
      </c>
      <c r="R123">
        <v>168</v>
      </c>
    </row>
    <row r="124" spans="14:18" x14ac:dyDescent="0.3">
      <c r="N124" t="s">
        <v>8</v>
      </c>
      <c r="O124" t="s">
        <v>35</v>
      </c>
      <c r="P124" t="s">
        <v>29</v>
      </c>
      <c r="Q124" s="4">
        <v>2023</v>
      </c>
      <c r="R124">
        <v>168</v>
      </c>
    </row>
    <row r="125" spans="14:18" x14ac:dyDescent="0.3">
      <c r="N125" t="s">
        <v>3</v>
      </c>
      <c r="O125" t="s">
        <v>39</v>
      </c>
      <c r="P125" t="s">
        <v>16</v>
      </c>
      <c r="Q125" s="4">
        <v>21</v>
      </c>
      <c r="R125">
        <v>168</v>
      </c>
    </row>
    <row r="126" spans="14:18" x14ac:dyDescent="0.3">
      <c r="N126" t="s">
        <v>3</v>
      </c>
      <c r="O126" t="s">
        <v>36</v>
      </c>
      <c r="P126" t="s">
        <v>23</v>
      </c>
      <c r="Q126" s="4">
        <v>3773</v>
      </c>
      <c r="R126">
        <v>165</v>
      </c>
    </row>
    <row r="127" spans="14:18" x14ac:dyDescent="0.3">
      <c r="N127" t="s">
        <v>2</v>
      </c>
      <c r="O127" t="s">
        <v>39</v>
      </c>
      <c r="P127" t="s">
        <v>20</v>
      </c>
      <c r="Q127" s="4">
        <v>9443</v>
      </c>
      <c r="R127">
        <v>162</v>
      </c>
    </row>
    <row r="128" spans="14:18" x14ac:dyDescent="0.3">
      <c r="N128" t="s">
        <v>40</v>
      </c>
      <c r="O128" t="s">
        <v>34</v>
      </c>
      <c r="P128" t="s">
        <v>19</v>
      </c>
      <c r="Q128" s="4">
        <v>4018</v>
      </c>
      <c r="R128">
        <v>162</v>
      </c>
    </row>
    <row r="129" spans="14:18" x14ac:dyDescent="0.3">
      <c r="N129" t="s">
        <v>3</v>
      </c>
      <c r="O129" t="s">
        <v>36</v>
      </c>
      <c r="P129" t="s">
        <v>28</v>
      </c>
      <c r="Q129" s="4">
        <v>973</v>
      </c>
      <c r="R129">
        <v>162</v>
      </c>
    </row>
    <row r="130" spans="14:18" x14ac:dyDescent="0.3">
      <c r="N130" t="s">
        <v>40</v>
      </c>
      <c r="O130" t="s">
        <v>34</v>
      </c>
      <c r="P130" t="s">
        <v>33</v>
      </c>
      <c r="Q130" s="4">
        <v>3794</v>
      </c>
      <c r="R130">
        <v>159</v>
      </c>
    </row>
    <row r="131" spans="14:18" x14ac:dyDescent="0.3">
      <c r="N131" t="s">
        <v>9</v>
      </c>
      <c r="O131" t="s">
        <v>35</v>
      </c>
      <c r="P131" t="s">
        <v>26</v>
      </c>
      <c r="Q131" s="4">
        <v>98</v>
      </c>
      <c r="R131">
        <v>159</v>
      </c>
    </row>
    <row r="132" spans="14:18" x14ac:dyDescent="0.3">
      <c r="N132" t="s">
        <v>40</v>
      </c>
      <c r="O132" t="s">
        <v>34</v>
      </c>
      <c r="P132" t="s">
        <v>17</v>
      </c>
      <c r="Q132" s="4">
        <v>5019</v>
      </c>
      <c r="R132">
        <v>156</v>
      </c>
    </row>
    <row r="133" spans="14:18" x14ac:dyDescent="0.3">
      <c r="N133" t="s">
        <v>6</v>
      </c>
      <c r="O133" t="s">
        <v>36</v>
      </c>
      <c r="P133" t="s">
        <v>17</v>
      </c>
      <c r="Q133" s="4">
        <v>4970</v>
      </c>
      <c r="R133">
        <v>156</v>
      </c>
    </row>
    <row r="134" spans="14:18" x14ac:dyDescent="0.3">
      <c r="N134" t="s">
        <v>9</v>
      </c>
      <c r="O134" t="s">
        <v>37</v>
      </c>
      <c r="P134" t="s">
        <v>25</v>
      </c>
      <c r="Q134" s="4">
        <v>4305</v>
      </c>
      <c r="R134">
        <v>156</v>
      </c>
    </row>
    <row r="135" spans="14:18" x14ac:dyDescent="0.3">
      <c r="N135" t="s">
        <v>2</v>
      </c>
      <c r="O135" t="s">
        <v>38</v>
      </c>
      <c r="P135" t="s">
        <v>23</v>
      </c>
      <c r="Q135" s="4">
        <v>4417</v>
      </c>
      <c r="R135">
        <v>153</v>
      </c>
    </row>
    <row r="136" spans="14:18" x14ac:dyDescent="0.3">
      <c r="N136" t="s">
        <v>9</v>
      </c>
      <c r="O136" t="s">
        <v>34</v>
      </c>
      <c r="P136" t="s">
        <v>28</v>
      </c>
      <c r="Q136" s="4">
        <v>14329</v>
      </c>
      <c r="R136">
        <v>150</v>
      </c>
    </row>
    <row r="137" spans="14:18" x14ac:dyDescent="0.3">
      <c r="N137" t="s">
        <v>8</v>
      </c>
      <c r="O137" t="s">
        <v>36</v>
      </c>
      <c r="P137" t="s">
        <v>23</v>
      </c>
      <c r="Q137" s="4">
        <v>5019</v>
      </c>
      <c r="R137">
        <v>150</v>
      </c>
    </row>
    <row r="138" spans="14:18" x14ac:dyDescent="0.3">
      <c r="N138" t="s">
        <v>6</v>
      </c>
      <c r="O138" t="s">
        <v>34</v>
      </c>
      <c r="P138" t="s">
        <v>17</v>
      </c>
      <c r="Q138" s="4">
        <v>3759</v>
      </c>
      <c r="R138">
        <v>150</v>
      </c>
    </row>
    <row r="139" spans="14:18" x14ac:dyDescent="0.3">
      <c r="N139" t="s">
        <v>8</v>
      </c>
      <c r="O139" t="s">
        <v>37</v>
      </c>
      <c r="P139" t="s">
        <v>30</v>
      </c>
      <c r="Q139" s="4">
        <v>42</v>
      </c>
      <c r="R139">
        <v>150</v>
      </c>
    </row>
    <row r="140" spans="14:18" x14ac:dyDescent="0.3">
      <c r="N140" t="s">
        <v>9</v>
      </c>
      <c r="O140" t="s">
        <v>35</v>
      </c>
      <c r="P140" t="s">
        <v>4</v>
      </c>
      <c r="Q140" s="4">
        <v>959</v>
      </c>
      <c r="R140">
        <v>147</v>
      </c>
    </row>
    <row r="141" spans="14:18" x14ac:dyDescent="0.3">
      <c r="N141" t="s">
        <v>2</v>
      </c>
      <c r="O141" t="s">
        <v>39</v>
      </c>
      <c r="P141" t="s">
        <v>28</v>
      </c>
      <c r="Q141" s="4">
        <v>6027</v>
      </c>
      <c r="R141">
        <v>144</v>
      </c>
    </row>
    <row r="142" spans="14:18" x14ac:dyDescent="0.3">
      <c r="N142" t="s">
        <v>3</v>
      </c>
      <c r="O142" t="s">
        <v>37</v>
      </c>
      <c r="P142" t="s">
        <v>17</v>
      </c>
      <c r="Q142" s="4">
        <v>3983</v>
      </c>
      <c r="R142">
        <v>144</v>
      </c>
    </row>
    <row r="143" spans="14:18" x14ac:dyDescent="0.3">
      <c r="N143" t="s">
        <v>9</v>
      </c>
      <c r="O143" t="s">
        <v>35</v>
      </c>
      <c r="P143" t="s">
        <v>27</v>
      </c>
      <c r="Q143" s="4">
        <v>2429</v>
      </c>
      <c r="R143">
        <v>144</v>
      </c>
    </row>
    <row r="144" spans="14:18" x14ac:dyDescent="0.3">
      <c r="N144" t="s">
        <v>41</v>
      </c>
      <c r="O144" t="s">
        <v>34</v>
      </c>
      <c r="P144" t="s">
        <v>22</v>
      </c>
      <c r="Q144" s="4">
        <v>336</v>
      </c>
      <c r="R144">
        <v>144</v>
      </c>
    </row>
    <row r="145" spans="14:18" x14ac:dyDescent="0.3">
      <c r="N145" t="s">
        <v>10</v>
      </c>
      <c r="O145" t="s">
        <v>38</v>
      </c>
      <c r="P145" t="s">
        <v>22</v>
      </c>
      <c r="Q145" s="4">
        <v>2205</v>
      </c>
      <c r="R145">
        <v>141</v>
      </c>
    </row>
    <row r="146" spans="14:18" x14ac:dyDescent="0.3">
      <c r="N146" t="s">
        <v>2</v>
      </c>
      <c r="O146" t="s">
        <v>39</v>
      </c>
      <c r="P146" t="s">
        <v>22</v>
      </c>
      <c r="Q146" s="4">
        <v>1568</v>
      </c>
      <c r="R146">
        <v>141</v>
      </c>
    </row>
    <row r="147" spans="14:18" x14ac:dyDescent="0.3">
      <c r="N147" t="s">
        <v>2</v>
      </c>
      <c r="O147" t="s">
        <v>37</v>
      </c>
      <c r="P147" t="s">
        <v>18</v>
      </c>
      <c r="Q147" s="4">
        <v>11571</v>
      </c>
      <c r="R147">
        <v>138</v>
      </c>
    </row>
    <row r="148" spans="14:18" x14ac:dyDescent="0.3">
      <c r="N148" t="s">
        <v>7</v>
      </c>
      <c r="O148" t="s">
        <v>34</v>
      </c>
      <c r="P148" t="s">
        <v>20</v>
      </c>
      <c r="Q148" s="4">
        <v>2205</v>
      </c>
      <c r="R148">
        <v>138</v>
      </c>
    </row>
    <row r="149" spans="14:18" x14ac:dyDescent="0.3">
      <c r="N149" t="s">
        <v>40</v>
      </c>
      <c r="O149" t="s">
        <v>34</v>
      </c>
      <c r="P149" t="s">
        <v>27</v>
      </c>
      <c r="Q149" s="4">
        <v>2289</v>
      </c>
      <c r="R149">
        <v>135</v>
      </c>
    </row>
    <row r="150" spans="14:18" x14ac:dyDescent="0.3">
      <c r="N150" t="s">
        <v>6</v>
      </c>
      <c r="O150" t="s">
        <v>36</v>
      </c>
      <c r="P150" t="s">
        <v>29</v>
      </c>
      <c r="Q150" s="4">
        <v>1400</v>
      </c>
      <c r="R150">
        <v>135</v>
      </c>
    </row>
    <row r="151" spans="14:18" x14ac:dyDescent="0.3">
      <c r="N151" t="s">
        <v>6</v>
      </c>
      <c r="O151" t="s">
        <v>38</v>
      </c>
      <c r="P151" t="s">
        <v>33</v>
      </c>
      <c r="Q151" s="4">
        <v>959</v>
      </c>
      <c r="R151">
        <v>135</v>
      </c>
    </row>
    <row r="152" spans="14:18" x14ac:dyDescent="0.3">
      <c r="N152" t="s">
        <v>40</v>
      </c>
      <c r="O152" t="s">
        <v>39</v>
      </c>
      <c r="P152" t="s">
        <v>29</v>
      </c>
      <c r="Q152" s="4">
        <v>0</v>
      </c>
      <c r="R152">
        <v>135</v>
      </c>
    </row>
    <row r="153" spans="14:18" x14ac:dyDescent="0.3">
      <c r="N153" t="s">
        <v>41</v>
      </c>
      <c r="O153" t="s">
        <v>35</v>
      </c>
      <c r="P153" t="s">
        <v>27</v>
      </c>
      <c r="Q153" s="4">
        <v>847</v>
      </c>
      <c r="R153">
        <v>129</v>
      </c>
    </row>
    <row r="154" spans="14:18" x14ac:dyDescent="0.3">
      <c r="N154" t="s">
        <v>10</v>
      </c>
      <c r="O154" t="s">
        <v>38</v>
      </c>
      <c r="P154" t="s">
        <v>4</v>
      </c>
      <c r="Q154" s="4">
        <v>6860</v>
      </c>
      <c r="R154">
        <v>126</v>
      </c>
    </row>
    <row r="155" spans="14:18" x14ac:dyDescent="0.3">
      <c r="N155" t="s">
        <v>41</v>
      </c>
      <c r="O155" t="s">
        <v>34</v>
      </c>
      <c r="P155" t="s">
        <v>23</v>
      </c>
      <c r="Q155" s="4">
        <v>4935</v>
      </c>
      <c r="R155">
        <v>126</v>
      </c>
    </row>
    <row r="156" spans="14:18" x14ac:dyDescent="0.3">
      <c r="N156" t="s">
        <v>2</v>
      </c>
      <c r="O156" t="s">
        <v>39</v>
      </c>
      <c r="P156" t="s">
        <v>33</v>
      </c>
      <c r="Q156" s="4">
        <v>4018</v>
      </c>
      <c r="R156">
        <v>126</v>
      </c>
    </row>
    <row r="157" spans="14:18" x14ac:dyDescent="0.3">
      <c r="N157" t="s">
        <v>40</v>
      </c>
      <c r="O157" t="s">
        <v>35</v>
      </c>
      <c r="P157" t="s">
        <v>29</v>
      </c>
      <c r="Q157" s="4">
        <v>1617</v>
      </c>
      <c r="R157">
        <v>126</v>
      </c>
    </row>
    <row r="158" spans="14:18" x14ac:dyDescent="0.3">
      <c r="N158" t="s">
        <v>8</v>
      </c>
      <c r="O158" t="s">
        <v>35</v>
      </c>
      <c r="P158" t="s">
        <v>33</v>
      </c>
      <c r="Q158" s="4">
        <v>357</v>
      </c>
      <c r="R158">
        <v>126</v>
      </c>
    </row>
    <row r="159" spans="14:18" x14ac:dyDescent="0.3">
      <c r="N159" t="s">
        <v>6</v>
      </c>
      <c r="O159" t="s">
        <v>34</v>
      </c>
      <c r="P159" t="s">
        <v>32</v>
      </c>
      <c r="Q159" s="4">
        <v>6734</v>
      </c>
      <c r="R159">
        <v>123</v>
      </c>
    </row>
    <row r="160" spans="14:18" x14ac:dyDescent="0.3">
      <c r="N160" t="s">
        <v>6</v>
      </c>
      <c r="O160" t="s">
        <v>35</v>
      </c>
      <c r="P160" t="s">
        <v>30</v>
      </c>
      <c r="Q160" s="4">
        <v>4781</v>
      </c>
      <c r="R160">
        <v>123</v>
      </c>
    </row>
    <row r="161" spans="14:18" x14ac:dyDescent="0.3">
      <c r="N161" t="s">
        <v>41</v>
      </c>
      <c r="O161" t="s">
        <v>37</v>
      </c>
      <c r="P161" t="s">
        <v>20</v>
      </c>
      <c r="Q161" s="4">
        <v>3388</v>
      </c>
      <c r="R161">
        <v>123</v>
      </c>
    </row>
    <row r="162" spans="14:18" x14ac:dyDescent="0.3">
      <c r="N162" t="s">
        <v>6</v>
      </c>
      <c r="O162" t="s">
        <v>38</v>
      </c>
      <c r="P162" t="s">
        <v>13</v>
      </c>
      <c r="Q162" s="4">
        <v>2317</v>
      </c>
      <c r="R162">
        <v>123</v>
      </c>
    </row>
    <row r="163" spans="14:18" x14ac:dyDescent="0.3">
      <c r="N163" t="s">
        <v>10</v>
      </c>
      <c r="O163" t="s">
        <v>38</v>
      </c>
      <c r="P163" t="s">
        <v>13</v>
      </c>
      <c r="Q163" s="4">
        <v>63</v>
      </c>
      <c r="R163">
        <v>123</v>
      </c>
    </row>
    <row r="164" spans="14:18" x14ac:dyDescent="0.3">
      <c r="N164" t="s">
        <v>6</v>
      </c>
      <c r="O164" t="s">
        <v>36</v>
      </c>
      <c r="P164" t="s">
        <v>4</v>
      </c>
      <c r="Q164" s="4">
        <v>10073</v>
      </c>
      <c r="R164">
        <v>120</v>
      </c>
    </row>
    <row r="165" spans="14:18" x14ac:dyDescent="0.3">
      <c r="N165" t="s">
        <v>2</v>
      </c>
      <c r="O165" t="s">
        <v>34</v>
      </c>
      <c r="P165" t="s">
        <v>19</v>
      </c>
      <c r="Q165" s="4">
        <v>7511</v>
      </c>
      <c r="R165">
        <v>120</v>
      </c>
    </row>
    <row r="166" spans="14:18" x14ac:dyDescent="0.3">
      <c r="N166" t="s">
        <v>9</v>
      </c>
      <c r="O166" t="s">
        <v>38</v>
      </c>
      <c r="P166" t="s">
        <v>16</v>
      </c>
      <c r="Q166" s="4">
        <v>2646</v>
      </c>
      <c r="R166">
        <v>120</v>
      </c>
    </row>
    <row r="167" spans="14:18" x14ac:dyDescent="0.3">
      <c r="N167" t="s">
        <v>3</v>
      </c>
      <c r="O167" t="s">
        <v>34</v>
      </c>
      <c r="P167" t="s">
        <v>23</v>
      </c>
      <c r="Q167" s="4">
        <v>2212</v>
      </c>
      <c r="R167">
        <v>117</v>
      </c>
    </row>
    <row r="168" spans="14:18" x14ac:dyDescent="0.3">
      <c r="N168" t="s">
        <v>7</v>
      </c>
      <c r="O168" t="s">
        <v>36</v>
      </c>
      <c r="P168" t="s">
        <v>31</v>
      </c>
      <c r="Q168" s="4">
        <v>2149</v>
      </c>
      <c r="R168">
        <v>117</v>
      </c>
    </row>
    <row r="169" spans="14:18" x14ac:dyDescent="0.3">
      <c r="N169" t="s">
        <v>2</v>
      </c>
      <c r="O169" t="s">
        <v>39</v>
      </c>
      <c r="P169" t="s">
        <v>16</v>
      </c>
      <c r="Q169" s="4">
        <v>2016</v>
      </c>
      <c r="R169">
        <v>117</v>
      </c>
    </row>
    <row r="170" spans="14:18" x14ac:dyDescent="0.3">
      <c r="N170" t="s">
        <v>7</v>
      </c>
      <c r="O170" t="s">
        <v>35</v>
      </c>
      <c r="P170" t="s">
        <v>24</v>
      </c>
      <c r="Q170" s="4">
        <v>2793</v>
      </c>
      <c r="R170">
        <v>114</v>
      </c>
    </row>
    <row r="171" spans="14:18" x14ac:dyDescent="0.3">
      <c r="N171" t="s">
        <v>9</v>
      </c>
      <c r="O171" t="s">
        <v>36</v>
      </c>
      <c r="P171" t="s">
        <v>25</v>
      </c>
      <c r="Q171" s="4">
        <v>2142</v>
      </c>
      <c r="R171">
        <v>114</v>
      </c>
    </row>
    <row r="172" spans="14:18" x14ac:dyDescent="0.3">
      <c r="N172" t="s">
        <v>40</v>
      </c>
      <c r="O172" t="s">
        <v>37</v>
      </c>
      <c r="P172" t="s">
        <v>30</v>
      </c>
      <c r="Q172" s="4">
        <v>1624</v>
      </c>
      <c r="R172">
        <v>114</v>
      </c>
    </row>
    <row r="173" spans="14:18" x14ac:dyDescent="0.3">
      <c r="N173" t="s">
        <v>7</v>
      </c>
      <c r="O173" t="s">
        <v>37</v>
      </c>
      <c r="P173" t="s">
        <v>17</v>
      </c>
      <c r="Q173" s="4">
        <v>4487</v>
      </c>
      <c r="R173">
        <v>111</v>
      </c>
    </row>
    <row r="174" spans="14:18" x14ac:dyDescent="0.3">
      <c r="N174" t="s">
        <v>5</v>
      </c>
      <c r="O174" t="s">
        <v>36</v>
      </c>
      <c r="P174" t="s">
        <v>30</v>
      </c>
      <c r="Q174" s="4">
        <v>1526</v>
      </c>
      <c r="R174">
        <v>105</v>
      </c>
    </row>
    <row r="175" spans="14:18" x14ac:dyDescent="0.3">
      <c r="N175" t="s">
        <v>41</v>
      </c>
      <c r="O175" t="s">
        <v>37</v>
      </c>
      <c r="P175" t="s">
        <v>24</v>
      </c>
      <c r="Q175" s="4">
        <v>6398</v>
      </c>
      <c r="R175">
        <v>102</v>
      </c>
    </row>
    <row r="176" spans="14:18" x14ac:dyDescent="0.3">
      <c r="N176" t="s">
        <v>40</v>
      </c>
      <c r="O176" t="s">
        <v>38</v>
      </c>
      <c r="P176" t="s">
        <v>4</v>
      </c>
      <c r="Q176" s="4">
        <v>6125</v>
      </c>
      <c r="R176">
        <v>102</v>
      </c>
    </row>
    <row r="177" spans="14:18" x14ac:dyDescent="0.3">
      <c r="N177" t="s">
        <v>9</v>
      </c>
      <c r="O177" t="s">
        <v>38</v>
      </c>
      <c r="P177" t="s">
        <v>25</v>
      </c>
      <c r="Q177" s="4">
        <v>3850</v>
      </c>
      <c r="R177">
        <v>102</v>
      </c>
    </row>
    <row r="178" spans="14:18" x14ac:dyDescent="0.3">
      <c r="N178" t="s">
        <v>5</v>
      </c>
      <c r="O178" t="s">
        <v>34</v>
      </c>
      <c r="P178" t="s">
        <v>29</v>
      </c>
      <c r="Q178" s="4">
        <v>2891</v>
      </c>
      <c r="R178">
        <v>102</v>
      </c>
    </row>
    <row r="179" spans="14:18" x14ac:dyDescent="0.3">
      <c r="N179" t="s">
        <v>3</v>
      </c>
      <c r="O179" t="s">
        <v>39</v>
      </c>
      <c r="P179" t="s">
        <v>28</v>
      </c>
      <c r="Q179" s="4">
        <v>1652</v>
      </c>
      <c r="R179">
        <v>102</v>
      </c>
    </row>
    <row r="180" spans="14:18" x14ac:dyDescent="0.3">
      <c r="N180" t="s">
        <v>6</v>
      </c>
      <c r="O180" t="s">
        <v>37</v>
      </c>
      <c r="P180" t="s">
        <v>18</v>
      </c>
      <c r="Q180" s="4">
        <v>1505</v>
      </c>
      <c r="R180">
        <v>102</v>
      </c>
    </row>
    <row r="181" spans="14:18" x14ac:dyDescent="0.3">
      <c r="N181" t="s">
        <v>9</v>
      </c>
      <c r="O181" t="s">
        <v>38</v>
      </c>
      <c r="P181" t="s">
        <v>26</v>
      </c>
      <c r="Q181" s="4">
        <v>2436</v>
      </c>
      <c r="R181">
        <v>99</v>
      </c>
    </row>
    <row r="182" spans="14:18" x14ac:dyDescent="0.3">
      <c r="N182" t="s">
        <v>41</v>
      </c>
      <c r="O182" t="s">
        <v>35</v>
      </c>
      <c r="P182" t="s">
        <v>19</v>
      </c>
      <c r="Q182" s="4">
        <v>609</v>
      </c>
      <c r="R182">
        <v>99</v>
      </c>
    </row>
    <row r="183" spans="14:18" x14ac:dyDescent="0.3">
      <c r="N183" t="s">
        <v>9</v>
      </c>
      <c r="O183" t="s">
        <v>37</v>
      </c>
      <c r="P183" t="s">
        <v>20</v>
      </c>
      <c r="Q183" s="4">
        <v>7273</v>
      </c>
      <c r="R183">
        <v>96</v>
      </c>
    </row>
    <row r="184" spans="14:18" x14ac:dyDescent="0.3">
      <c r="N184" t="s">
        <v>10</v>
      </c>
      <c r="O184" t="s">
        <v>35</v>
      </c>
      <c r="P184" t="s">
        <v>14</v>
      </c>
      <c r="Q184" s="4">
        <v>3472</v>
      </c>
      <c r="R184">
        <v>96</v>
      </c>
    </row>
    <row r="185" spans="14:18" x14ac:dyDescent="0.3">
      <c r="N185" t="s">
        <v>7</v>
      </c>
      <c r="O185" t="s">
        <v>34</v>
      </c>
      <c r="P185" t="s">
        <v>25</v>
      </c>
      <c r="Q185" s="4">
        <v>1568</v>
      </c>
      <c r="R185">
        <v>96</v>
      </c>
    </row>
    <row r="186" spans="14:18" x14ac:dyDescent="0.3">
      <c r="N186" t="s">
        <v>40</v>
      </c>
      <c r="O186" t="s">
        <v>37</v>
      </c>
      <c r="P186" t="s">
        <v>27</v>
      </c>
      <c r="Q186" s="4">
        <v>6132</v>
      </c>
      <c r="R186">
        <v>93</v>
      </c>
    </row>
    <row r="187" spans="14:18" x14ac:dyDescent="0.3">
      <c r="N187" t="s">
        <v>3</v>
      </c>
      <c r="O187" t="s">
        <v>34</v>
      </c>
      <c r="P187" t="s">
        <v>17</v>
      </c>
      <c r="Q187" s="4">
        <v>2919</v>
      </c>
      <c r="R187">
        <v>93</v>
      </c>
    </row>
    <row r="188" spans="14:18" x14ac:dyDescent="0.3">
      <c r="N188" t="s">
        <v>9</v>
      </c>
      <c r="O188" t="s">
        <v>37</v>
      </c>
      <c r="P188" t="s">
        <v>23</v>
      </c>
      <c r="Q188" s="4">
        <v>2737</v>
      </c>
      <c r="R188">
        <v>93</v>
      </c>
    </row>
    <row r="189" spans="14:18" x14ac:dyDescent="0.3">
      <c r="N189" t="s">
        <v>5</v>
      </c>
      <c r="O189" t="s">
        <v>34</v>
      </c>
      <c r="P189" t="s">
        <v>33</v>
      </c>
      <c r="Q189" s="4">
        <v>1652</v>
      </c>
      <c r="R189">
        <v>93</v>
      </c>
    </row>
    <row r="190" spans="14:18" x14ac:dyDescent="0.3">
      <c r="N190" t="s">
        <v>10</v>
      </c>
      <c r="O190" t="s">
        <v>34</v>
      </c>
      <c r="P190" t="s">
        <v>25</v>
      </c>
      <c r="Q190" s="4">
        <v>1428</v>
      </c>
      <c r="R190">
        <v>93</v>
      </c>
    </row>
    <row r="191" spans="14:18" x14ac:dyDescent="0.3">
      <c r="N191" t="s">
        <v>40</v>
      </c>
      <c r="O191" t="s">
        <v>36</v>
      </c>
      <c r="P191" t="s">
        <v>33</v>
      </c>
      <c r="Q191" s="4">
        <v>9772</v>
      </c>
      <c r="R191">
        <v>90</v>
      </c>
    </row>
    <row r="192" spans="14:18" x14ac:dyDescent="0.3">
      <c r="N192" t="s">
        <v>9</v>
      </c>
      <c r="O192" t="s">
        <v>34</v>
      </c>
      <c r="P192" t="s">
        <v>23</v>
      </c>
      <c r="Q192" s="4">
        <v>8155</v>
      </c>
      <c r="R192">
        <v>90</v>
      </c>
    </row>
    <row r="193" spans="14:18" x14ac:dyDescent="0.3">
      <c r="N193" t="s">
        <v>40</v>
      </c>
      <c r="O193" t="s">
        <v>38</v>
      </c>
      <c r="P193" t="s">
        <v>25</v>
      </c>
      <c r="Q193" s="4">
        <v>2541</v>
      </c>
      <c r="R193">
        <v>90</v>
      </c>
    </row>
    <row r="194" spans="14:18" x14ac:dyDescent="0.3">
      <c r="N194" t="s">
        <v>9</v>
      </c>
      <c r="O194" t="s">
        <v>38</v>
      </c>
      <c r="P194" t="s">
        <v>33</v>
      </c>
      <c r="Q194" s="4">
        <v>9506</v>
      </c>
      <c r="R194">
        <v>87</v>
      </c>
    </row>
    <row r="195" spans="14:18" x14ac:dyDescent="0.3">
      <c r="N195" t="s">
        <v>6</v>
      </c>
      <c r="O195" t="s">
        <v>37</v>
      </c>
      <c r="P195" t="s">
        <v>31</v>
      </c>
      <c r="Q195" s="4">
        <v>7693</v>
      </c>
      <c r="R195">
        <v>87</v>
      </c>
    </row>
    <row r="196" spans="14:18" x14ac:dyDescent="0.3">
      <c r="N196" t="s">
        <v>10</v>
      </c>
      <c r="O196" t="s">
        <v>34</v>
      </c>
      <c r="P196" t="s">
        <v>17</v>
      </c>
      <c r="Q196" s="4">
        <v>700</v>
      </c>
      <c r="R196">
        <v>87</v>
      </c>
    </row>
    <row r="197" spans="14:18" x14ac:dyDescent="0.3">
      <c r="N197" t="s">
        <v>40</v>
      </c>
      <c r="O197" t="s">
        <v>38</v>
      </c>
      <c r="P197" t="s">
        <v>26</v>
      </c>
      <c r="Q197" s="4">
        <v>609</v>
      </c>
      <c r="R197">
        <v>87</v>
      </c>
    </row>
    <row r="198" spans="14:18" x14ac:dyDescent="0.3">
      <c r="N198" t="s">
        <v>8</v>
      </c>
      <c r="O198" t="s">
        <v>37</v>
      </c>
      <c r="P198" t="s">
        <v>21</v>
      </c>
      <c r="Q198" s="4">
        <v>434</v>
      </c>
      <c r="R198">
        <v>87</v>
      </c>
    </row>
    <row r="199" spans="14:18" x14ac:dyDescent="0.3">
      <c r="N199" t="s">
        <v>7</v>
      </c>
      <c r="O199" t="s">
        <v>36</v>
      </c>
      <c r="P199" t="s">
        <v>32</v>
      </c>
      <c r="Q199" s="4">
        <v>280</v>
      </c>
      <c r="R199">
        <v>87</v>
      </c>
    </row>
    <row r="200" spans="14:18" x14ac:dyDescent="0.3">
      <c r="N200" t="s">
        <v>41</v>
      </c>
      <c r="O200" t="s">
        <v>36</v>
      </c>
      <c r="P200" t="s">
        <v>32</v>
      </c>
      <c r="Q200" s="4">
        <v>10304</v>
      </c>
      <c r="R200">
        <v>84</v>
      </c>
    </row>
    <row r="201" spans="14:18" x14ac:dyDescent="0.3">
      <c r="N201" t="s">
        <v>5</v>
      </c>
      <c r="O201" t="s">
        <v>35</v>
      </c>
      <c r="P201" t="s">
        <v>22</v>
      </c>
      <c r="Q201" s="4">
        <v>490</v>
      </c>
      <c r="R201">
        <v>84</v>
      </c>
    </row>
    <row r="202" spans="14:18" x14ac:dyDescent="0.3">
      <c r="N202" t="s">
        <v>8</v>
      </c>
      <c r="O202" t="s">
        <v>38</v>
      </c>
      <c r="P202" t="s">
        <v>22</v>
      </c>
      <c r="Q202" s="4">
        <v>168</v>
      </c>
      <c r="R202">
        <v>84</v>
      </c>
    </row>
    <row r="203" spans="14:18" x14ac:dyDescent="0.3">
      <c r="N203" t="s">
        <v>2</v>
      </c>
      <c r="O203" t="s">
        <v>39</v>
      </c>
      <c r="P203" t="s">
        <v>27</v>
      </c>
      <c r="Q203" s="4">
        <v>7812</v>
      </c>
      <c r="R203">
        <v>81</v>
      </c>
    </row>
    <row r="204" spans="14:18" x14ac:dyDescent="0.3">
      <c r="N204" t="s">
        <v>5</v>
      </c>
      <c r="O204" t="s">
        <v>39</v>
      </c>
      <c r="P204" t="s">
        <v>22</v>
      </c>
      <c r="Q204" s="4">
        <v>6909</v>
      </c>
      <c r="R204">
        <v>81</v>
      </c>
    </row>
    <row r="205" spans="14:18" x14ac:dyDescent="0.3">
      <c r="N205" t="s">
        <v>8</v>
      </c>
      <c r="O205" t="s">
        <v>35</v>
      </c>
      <c r="P205" t="s">
        <v>30</v>
      </c>
      <c r="Q205" s="4">
        <v>3598</v>
      </c>
      <c r="R205">
        <v>81</v>
      </c>
    </row>
    <row r="206" spans="14:18" x14ac:dyDescent="0.3">
      <c r="N206" t="s">
        <v>6</v>
      </c>
      <c r="O206" t="s">
        <v>37</v>
      </c>
      <c r="P206" t="s">
        <v>30</v>
      </c>
      <c r="Q206" s="4">
        <v>560</v>
      </c>
      <c r="R206">
        <v>81</v>
      </c>
    </row>
    <row r="207" spans="14:18" x14ac:dyDescent="0.3">
      <c r="N207" t="s">
        <v>8</v>
      </c>
      <c r="O207" t="s">
        <v>38</v>
      </c>
      <c r="P207" t="s">
        <v>21</v>
      </c>
      <c r="Q207" s="4">
        <v>6433</v>
      </c>
      <c r="R207">
        <v>78</v>
      </c>
    </row>
    <row r="208" spans="14:18" x14ac:dyDescent="0.3">
      <c r="N208" t="s">
        <v>3</v>
      </c>
      <c r="O208" t="s">
        <v>35</v>
      </c>
      <c r="P208" t="s">
        <v>23</v>
      </c>
      <c r="Q208" s="4">
        <v>2023</v>
      </c>
      <c r="R208">
        <v>78</v>
      </c>
    </row>
    <row r="209" spans="14:18" x14ac:dyDescent="0.3">
      <c r="N209" t="s">
        <v>2</v>
      </c>
      <c r="O209" t="s">
        <v>36</v>
      </c>
      <c r="P209" t="s">
        <v>29</v>
      </c>
      <c r="Q209" s="4">
        <v>8211</v>
      </c>
      <c r="R209">
        <v>75</v>
      </c>
    </row>
    <row r="210" spans="14:18" x14ac:dyDescent="0.3">
      <c r="N210" t="s">
        <v>6</v>
      </c>
      <c r="O210" t="s">
        <v>34</v>
      </c>
      <c r="P210" t="s">
        <v>29</v>
      </c>
      <c r="Q210" s="4">
        <v>3339</v>
      </c>
      <c r="R210">
        <v>75</v>
      </c>
    </row>
    <row r="211" spans="14:18" x14ac:dyDescent="0.3">
      <c r="N211" t="s">
        <v>7</v>
      </c>
      <c r="O211" t="s">
        <v>34</v>
      </c>
      <c r="P211" t="s">
        <v>32</v>
      </c>
      <c r="Q211" s="4">
        <v>3262</v>
      </c>
      <c r="R211">
        <v>75</v>
      </c>
    </row>
    <row r="212" spans="14:18" x14ac:dyDescent="0.3">
      <c r="N212" t="s">
        <v>40</v>
      </c>
      <c r="O212" t="s">
        <v>34</v>
      </c>
      <c r="P212" t="s">
        <v>23</v>
      </c>
      <c r="Q212" s="4">
        <v>2779</v>
      </c>
      <c r="R212">
        <v>75</v>
      </c>
    </row>
    <row r="213" spans="14:18" x14ac:dyDescent="0.3">
      <c r="N213" t="s">
        <v>6</v>
      </c>
      <c r="O213" t="s">
        <v>34</v>
      </c>
      <c r="P213" t="s">
        <v>16</v>
      </c>
      <c r="Q213" s="4">
        <v>2219</v>
      </c>
      <c r="R213">
        <v>75</v>
      </c>
    </row>
    <row r="214" spans="14:18" x14ac:dyDescent="0.3">
      <c r="N214" t="s">
        <v>7</v>
      </c>
      <c r="O214" t="s">
        <v>38</v>
      </c>
      <c r="P214" t="s">
        <v>14</v>
      </c>
      <c r="Q214" s="4">
        <v>1281</v>
      </c>
      <c r="R214">
        <v>75</v>
      </c>
    </row>
    <row r="215" spans="14:18" x14ac:dyDescent="0.3">
      <c r="N215" t="s">
        <v>10</v>
      </c>
      <c r="O215" t="s">
        <v>36</v>
      </c>
      <c r="P215" t="s">
        <v>13</v>
      </c>
      <c r="Q215" s="4">
        <v>945</v>
      </c>
      <c r="R215">
        <v>75</v>
      </c>
    </row>
    <row r="216" spans="14:18" x14ac:dyDescent="0.3">
      <c r="N216" t="s">
        <v>5</v>
      </c>
      <c r="O216" t="s">
        <v>37</v>
      </c>
      <c r="P216" t="s">
        <v>22</v>
      </c>
      <c r="Q216" s="4">
        <v>518</v>
      </c>
      <c r="R216">
        <v>75</v>
      </c>
    </row>
    <row r="217" spans="14:18" x14ac:dyDescent="0.3">
      <c r="N217" t="s">
        <v>6</v>
      </c>
      <c r="O217" t="s">
        <v>38</v>
      </c>
      <c r="P217" t="s">
        <v>25</v>
      </c>
      <c r="Q217" s="4">
        <v>469</v>
      </c>
      <c r="R217">
        <v>75</v>
      </c>
    </row>
    <row r="218" spans="14:18" x14ac:dyDescent="0.3">
      <c r="N218" t="s">
        <v>40</v>
      </c>
      <c r="O218" t="s">
        <v>37</v>
      </c>
      <c r="P218" t="s">
        <v>29</v>
      </c>
      <c r="Q218" s="4">
        <v>9002</v>
      </c>
      <c r="R218">
        <v>72</v>
      </c>
    </row>
    <row r="219" spans="14:18" x14ac:dyDescent="0.3">
      <c r="N219" t="s">
        <v>41</v>
      </c>
      <c r="O219" t="s">
        <v>39</v>
      </c>
      <c r="P219" t="s">
        <v>14</v>
      </c>
      <c r="Q219" s="4">
        <v>3976</v>
      </c>
      <c r="R219">
        <v>72</v>
      </c>
    </row>
    <row r="220" spans="14:18" x14ac:dyDescent="0.3">
      <c r="N220" t="s">
        <v>9</v>
      </c>
      <c r="O220" t="s">
        <v>39</v>
      </c>
      <c r="P220" t="s">
        <v>25</v>
      </c>
      <c r="Q220" s="4">
        <v>3192</v>
      </c>
      <c r="R220">
        <v>72</v>
      </c>
    </row>
    <row r="221" spans="14:18" x14ac:dyDescent="0.3">
      <c r="N221" t="s">
        <v>10</v>
      </c>
      <c r="O221" t="s">
        <v>36</v>
      </c>
      <c r="P221" t="s">
        <v>27</v>
      </c>
      <c r="Q221" s="4">
        <v>1407</v>
      </c>
      <c r="R221">
        <v>72</v>
      </c>
    </row>
    <row r="222" spans="14:18" x14ac:dyDescent="0.3">
      <c r="N222" t="s">
        <v>41</v>
      </c>
      <c r="O222" t="s">
        <v>35</v>
      </c>
      <c r="P222" t="s">
        <v>13</v>
      </c>
      <c r="Q222" s="4">
        <v>4760</v>
      </c>
      <c r="R222">
        <v>69</v>
      </c>
    </row>
    <row r="223" spans="14:18" x14ac:dyDescent="0.3">
      <c r="N223" t="s">
        <v>3</v>
      </c>
      <c r="O223" t="s">
        <v>35</v>
      </c>
      <c r="P223" t="s">
        <v>29</v>
      </c>
      <c r="Q223" s="4">
        <v>2114</v>
      </c>
      <c r="R223">
        <v>66</v>
      </c>
    </row>
    <row r="224" spans="14:18" x14ac:dyDescent="0.3">
      <c r="N224" t="s">
        <v>5</v>
      </c>
      <c r="O224" t="s">
        <v>36</v>
      </c>
      <c r="P224" t="s">
        <v>13</v>
      </c>
      <c r="Q224" s="4">
        <v>6146</v>
      </c>
      <c r="R224">
        <v>63</v>
      </c>
    </row>
    <row r="225" spans="14:18" x14ac:dyDescent="0.3">
      <c r="N225" t="s">
        <v>7</v>
      </c>
      <c r="O225" t="s">
        <v>35</v>
      </c>
      <c r="P225" t="s">
        <v>14</v>
      </c>
      <c r="Q225" s="4">
        <v>4606</v>
      </c>
      <c r="R225">
        <v>63</v>
      </c>
    </row>
    <row r="226" spans="14:18" x14ac:dyDescent="0.3">
      <c r="N226" t="s">
        <v>8</v>
      </c>
      <c r="O226" t="s">
        <v>38</v>
      </c>
      <c r="P226" t="s">
        <v>27</v>
      </c>
      <c r="Q226" s="4">
        <v>2268</v>
      </c>
      <c r="R226">
        <v>63</v>
      </c>
    </row>
    <row r="227" spans="14:18" x14ac:dyDescent="0.3">
      <c r="N227" t="s">
        <v>6</v>
      </c>
      <c r="O227" t="s">
        <v>39</v>
      </c>
      <c r="P227" t="s">
        <v>30</v>
      </c>
      <c r="Q227" s="4">
        <v>1638</v>
      </c>
      <c r="R227">
        <v>63</v>
      </c>
    </row>
    <row r="228" spans="14:18" x14ac:dyDescent="0.3">
      <c r="N228" t="s">
        <v>6</v>
      </c>
      <c r="O228" t="s">
        <v>36</v>
      </c>
      <c r="P228" t="s">
        <v>21</v>
      </c>
      <c r="Q228" s="4">
        <v>497</v>
      </c>
      <c r="R228">
        <v>63</v>
      </c>
    </row>
    <row r="229" spans="14:18" x14ac:dyDescent="0.3">
      <c r="N229" t="s">
        <v>9</v>
      </c>
      <c r="O229" t="s">
        <v>38</v>
      </c>
      <c r="P229" t="s">
        <v>24</v>
      </c>
      <c r="Q229" s="4">
        <v>4137</v>
      </c>
      <c r="R229">
        <v>60</v>
      </c>
    </row>
    <row r="230" spans="14:18" x14ac:dyDescent="0.3">
      <c r="N230" t="s">
        <v>9</v>
      </c>
      <c r="O230" t="s">
        <v>36</v>
      </c>
      <c r="P230" t="s">
        <v>30</v>
      </c>
      <c r="Q230" s="4">
        <v>9051</v>
      </c>
      <c r="R230">
        <v>57</v>
      </c>
    </row>
    <row r="231" spans="14:18" x14ac:dyDescent="0.3">
      <c r="N231" t="s">
        <v>5</v>
      </c>
      <c r="O231" t="s">
        <v>38</v>
      </c>
      <c r="P231" t="s">
        <v>13</v>
      </c>
      <c r="Q231" s="4">
        <v>7189</v>
      </c>
      <c r="R231">
        <v>54</v>
      </c>
    </row>
    <row r="232" spans="14:18" x14ac:dyDescent="0.3">
      <c r="N232" t="s">
        <v>7</v>
      </c>
      <c r="O232" t="s">
        <v>37</v>
      </c>
      <c r="P232" t="s">
        <v>30</v>
      </c>
      <c r="Q232" s="4">
        <v>6454</v>
      </c>
      <c r="R232">
        <v>54</v>
      </c>
    </row>
    <row r="233" spans="14:18" x14ac:dyDescent="0.3">
      <c r="N233" t="s">
        <v>3</v>
      </c>
      <c r="O233" t="s">
        <v>34</v>
      </c>
      <c r="P233" t="s">
        <v>26</v>
      </c>
      <c r="Q233" s="4">
        <v>3108</v>
      </c>
      <c r="R233">
        <v>54</v>
      </c>
    </row>
    <row r="234" spans="14:18" x14ac:dyDescent="0.3">
      <c r="N234" t="s">
        <v>6</v>
      </c>
      <c r="O234" t="s">
        <v>38</v>
      </c>
      <c r="P234" t="s">
        <v>31</v>
      </c>
      <c r="Q234" s="4">
        <v>2681</v>
      </c>
      <c r="R234">
        <v>54</v>
      </c>
    </row>
    <row r="235" spans="14:18" x14ac:dyDescent="0.3">
      <c r="N235" t="s">
        <v>2</v>
      </c>
      <c r="O235" t="s">
        <v>37</v>
      </c>
      <c r="P235" t="s">
        <v>14</v>
      </c>
      <c r="Q235" s="4">
        <v>1057</v>
      </c>
      <c r="R235">
        <v>54</v>
      </c>
    </row>
    <row r="236" spans="14:18" x14ac:dyDescent="0.3">
      <c r="N236" t="s">
        <v>2</v>
      </c>
      <c r="O236" t="s">
        <v>34</v>
      </c>
      <c r="P236" t="s">
        <v>13</v>
      </c>
      <c r="Q236" s="4">
        <v>252</v>
      </c>
      <c r="R236">
        <v>54</v>
      </c>
    </row>
    <row r="237" spans="14:18" x14ac:dyDescent="0.3">
      <c r="N237" t="s">
        <v>5</v>
      </c>
      <c r="O237" t="s">
        <v>39</v>
      </c>
      <c r="P237" t="s">
        <v>26</v>
      </c>
      <c r="Q237" s="4">
        <v>5236</v>
      </c>
      <c r="R237">
        <v>51</v>
      </c>
    </row>
    <row r="238" spans="14:18" x14ac:dyDescent="0.3">
      <c r="N238" t="s">
        <v>3</v>
      </c>
      <c r="O238" t="s">
        <v>39</v>
      </c>
      <c r="P238" t="s">
        <v>29</v>
      </c>
      <c r="Q238" s="4">
        <v>3640</v>
      </c>
      <c r="R238">
        <v>51</v>
      </c>
    </row>
    <row r="239" spans="14:18" x14ac:dyDescent="0.3">
      <c r="N239" t="s">
        <v>40</v>
      </c>
      <c r="O239" t="s">
        <v>38</v>
      </c>
      <c r="P239" t="s">
        <v>24</v>
      </c>
      <c r="Q239" s="4">
        <v>623</v>
      </c>
      <c r="R239">
        <v>51</v>
      </c>
    </row>
    <row r="240" spans="14:18" x14ac:dyDescent="0.3">
      <c r="N240" t="s">
        <v>2</v>
      </c>
      <c r="O240" t="s">
        <v>38</v>
      </c>
      <c r="P240" t="s">
        <v>13</v>
      </c>
      <c r="Q240" s="4">
        <v>56</v>
      </c>
      <c r="R240">
        <v>51</v>
      </c>
    </row>
    <row r="241" spans="14:18" x14ac:dyDescent="0.3">
      <c r="N241" t="s">
        <v>40</v>
      </c>
      <c r="O241" t="s">
        <v>34</v>
      </c>
      <c r="P241" t="s">
        <v>26</v>
      </c>
      <c r="Q241" s="4">
        <v>6748</v>
      </c>
      <c r="R241">
        <v>48</v>
      </c>
    </row>
    <row r="242" spans="14:18" x14ac:dyDescent="0.3">
      <c r="N242" t="s">
        <v>7</v>
      </c>
      <c r="O242" t="s">
        <v>37</v>
      </c>
      <c r="P242" t="s">
        <v>33</v>
      </c>
      <c r="Q242" s="4">
        <v>6391</v>
      </c>
      <c r="R242">
        <v>48</v>
      </c>
    </row>
    <row r="243" spans="14:18" x14ac:dyDescent="0.3">
      <c r="N243" t="s">
        <v>7</v>
      </c>
      <c r="O243" t="s">
        <v>34</v>
      </c>
      <c r="P243" t="s">
        <v>33</v>
      </c>
      <c r="Q243" s="4">
        <v>2226</v>
      </c>
      <c r="R243">
        <v>48</v>
      </c>
    </row>
    <row r="244" spans="14:18" x14ac:dyDescent="0.3">
      <c r="N244" t="s">
        <v>40</v>
      </c>
      <c r="O244" t="s">
        <v>35</v>
      </c>
      <c r="P244" t="s">
        <v>24</v>
      </c>
      <c r="Q244" s="4">
        <v>1638</v>
      </c>
      <c r="R244">
        <v>48</v>
      </c>
    </row>
    <row r="245" spans="14:18" x14ac:dyDescent="0.3">
      <c r="N245" t="s">
        <v>6</v>
      </c>
      <c r="O245" t="s">
        <v>34</v>
      </c>
      <c r="P245" t="s">
        <v>4</v>
      </c>
      <c r="Q245" s="4">
        <v>525</v>
      </c>
      <c r="R245">
        <v>48</v>
      </c>
    </row>
    <row r="246" spans="14:18" x14ac:dyDescent="0.3">
      <c r="N246" t="s">
        <v>2</v>
      </c>
      <c r="O246" t="s">
        <v>36</v>
      </c>
      <c r="P246" t="s">
        <v>17</v>
      </c>
      <c r="Q246" s="4">
        <v>189</v>
      </c>
      <c r="R246">
        <v>48</v>
      </c>
    </row>
    <row r="247" spans="14:18" x14ac:dyDescent="0.3">
      <c r="N247" t="s">
        <v>5</v>
      </c>
      <c r="O247" t="s">
        <v>37</v>
      </c>
      <c r="P247" t="s">
        <v>31</v>
      </c>
      <c r="Q247" s="4">
        <v>182</v>
      </c>
      <c r="R247">
        <v>48</v>
      </c>
    </row>
    <row r="248" spans="14:18" x14ac:dyDescent="0.3">
      <c r="N248" t="s">
        <v>5</v>
      </c>
      <c r="O248" t="s">
        <v>38</v>
      </c>
      <c r="P248" t="s">
        <v>25</v>
      </c>
      <c r="Q248" s="4">
        <v>7483</v>
      </c>
      <c r="R248">
        <v>45</v>
      </c>
    </row>
    <row r="249" spans="14:18" x14ac:dyDescent="0.3">
      <c r="N249" t="s">
        <v>8</v>
      </c>
      <c r="O249" t="s">
        <v>37</v>
      </c>
      <c r="P249" t="s">
        <v>26</v>
      </c>
      <c r="Q249" s="4">
        <v>6279</v>
      </c>
      <c r="R249">
        <v>45</v>
      </c>
    </row>
    <row r="250" spans="14:18" x14ac:dyDescent="0.3">
      <c r="N250" t="s">
        <v>9</v>
      </c>
      <c r="O250" t="s">
        <v>37</v>
      </c>
      <c r="P250" t="s">
        <v>28</v>
      </c>
      <c r="Q250" s="4">
        <v>2919</v>
      </c>
      <c r="R250">
        <v>45</v>
      </c>
    </row>
    <row r="251" spans="14:18" x14ac:dyDescent="0.3">
      <c r="N251" t="s">
        <v>40</v>
      </c>
      <c r="O251" t="s">
        <v>38</v>
      </c>
      <c r="P251" t="s">
        <v>29</v>
      </c>
      <c r="Q251" s="4">
        <v>2541</v>
      </c>
      <c r="R251">
        <v>45</v>
      </c>
    </row>
    <row r="252" spans="14:18" x14ac:dyDescent="0.3">
      <c r="N252" t="s">
        <v>7</v>
      </c>
      <c r="O252" t="s">
        <v>36</v>
      </c>
      <c r="P252" t="s">
        <v>22</v>
      </c>
      <c r="Q252" s="4">
        <v>8435</v>
      </c>
      <c r="R252">
        <v>42</v>
      </c>
    </row>
    <row r="253" spans="14:18" x14ac:dyDescent="0.3">
      <c r="N253" t="s">
        <v>3</v>
      </c>
      <c r="O253" t="s">
        <v>34</v>
      </c>
      <c r="P253" t="s">
        <v>25</v>
      </c>
      <c r="Q253" s="4">
        <v>6300</v>
      </c>
      <c r="R253">
        <v>42</v>
      </c>
    </row>
    <row r="254" spans="14:18" x14ac:dyDescent="0.3">
      <c r="N254" t="s">
        <v>40</v>
      </c>
      <c r="O254" t="s">
        <v>39</v>
      </c>
      <c r="P254" t="s">
        <v>15</v>
      </c>
      <c r="Q254" s="4">
        <v>5775</v>
      </c>
      <c r="R254">
        <v>42</v>
      </c>
    </row>
    <row r="255" spans="14:18" x14ac:dyDescent="0.3">
      <c r="N255" t="s">
        <v>2</v>
      </c>
      <c r="O255" t="s">
        <v>37</v>
      </c>
      <c r="P255" t="s">
        <v>15</v>
      </c>
      <c r="Q255" s="4">
        <v>2863</v>
      </c>
      <c r="R255">
        <v>42</v>
      </c>
    </row>
    <row r="256" spans="14:18" x14ac:dyDescent="0.3">
      <c r="N256" t="s">
        <v>5</v>
      </c>
      <c r="O256" t="s">
        <v>36</v>
      </c>
      <c r="P256" t="s">
        <v>16</v>
      </c>
      <c r="Q256" s="4">
        <v>16184</v>
      </c>
      <c r="R256">
        <v>39</v>
      </c>
    </row>
    <row r="257" spans="14:18" x14ac:dyDescent="0.3">
      <c r="N257" t="s">
        <v>7</v>
      </c>
      <c r="O257" t="s">
        <v>34</v>
      </c>
      <c r="P257" t="s">
        <v>17</v>
      </c>
      <c r="Q257" s="4">
        <v>7777</v>
      </c>
      <c r="R257">
        <v>39</v>
      </c>
    </row>
    <row r="258" spans="14:18" x14ac:dyDescent="0.3">
      <c r="N258" t="s">
        <v>3</v>
      </c>
      <c r="O258" t="s">
        <v>36</v>
      </c>
      <c r="P258" t="s">
        <v>25</v>
      </c>
      <c r="Q258" s="4">
        <v>3339</v>
      </c>
      <c r="R258">
        <v>39</v>
      </c>
    </row>
    <row r="259" spans="14:18" x14ac:dyDescent="0.3">
      <c r="N259" t="s">
        <v>40</v>
      </c>
      <c r="O259" t="s">
        <v>38</v>
      </c>
      <c r="P259" t="s">
        <v>31</v>
      </c>
      <c r="Q259" s="4">
        <v>1988</v>
      </c>
      <c r="R259">
        <v>39</v>
      </c>
    </row>
    <row r="260" spans="14:18" x14ac:dyDescent="0.3">
      <c r="N260" t="s">
        <v>41</v>
      </c>
      <c r="O260" t="s">
        <v>34</v>
      </c>
      <c r="P260" t="s">
        <v>17</v>
      </c>
      <c r="Q260" s="4">
        <v>1463</v>
      </c>
      <c r="R260">
        <v>39</v>
      </c>
    </row>
    <row r="261" spans="14:18" x14ac:dyDescent="0.3">
      <c r="N261" t="s">
        <v>3</v>
      </c>
      <c r="O261" t="s">
        <v>36</v>
      </c>
      <c r="P261" t="s">
        <v>16</v>
      </c>
      <c r="Q261" s="4">
        <v>9198</v>
      </c>
      <c r="R261">
        <v>36</v>
      </c>
    </row>
    <row r="262" spans="14:18" x14ac:dyDescent="0.3">
      <c r="N262" t="s">
        <v>6</v>
      </c>
      <c r="O262" t="s">
        <v>38</v>
      </c>
      <c r="P262" t="s">
        <v>21</v>
      </c>
      <c r="Q262" s="4">
        <v>7322</v>
      </c>
      <c r="R262">
        <v>36</v>
      </c>
    </row>
    <row r="263" spans="14:18" x14ac:dyDescent="0.3">
      <c r="N263" t="s">
        <v>2</v>
      </c>
      <c r="O263" t="s">
        <v>39</v>
      </c>
      <c r="P263" t="s">
        <v>15</v>
      </c>
      <c r="Q263" s="4">
        <v>4802</v>
      </c>
      <c r="R263">
        <v>36</v>
      </c>
    </row>
    <row r="264" spans="14:18" x14ac:dyDescent="0.3">
      <c r="N264" t="s">
        <v>2</v>
      </c>
      <c r="O264" t="s">
        <v>39</v>
      </c>
      <c r="P264" t="s">
        <v>23</v>
      </c>
      <c r="Q264" s="4">
        <v>630</v>
      </c>
      <c r="R264">
        <v>36</v>
      </c>
    </row>
    <row r="265" spans="14:18" x14ac:dyDescent="0.3">
      <c r="N265" t="s">
        <v>40</v>
      </c>
      <c r="O265" t="s">
        <v>36</v>
      </c>
      <c r="P265" t="s">
        <v>4</v>
      </c>
      <c r="Q265" s="4">
        <v>217</v>
      </c>
      <c r="R265">
        <v>36</v>
      </c>
    </row>
    <row r="266" spans="14:18" x14ac:dyDescent="0.3">
      <c r="N266" t="s">
        <v>10</v>
      </c>
      <c r="O266" t="s">
        <v>39</v>
      </c>
      <c r="P266" t="s">
        <v>33</v>
      </c>
      <c r="Q266" s="4">
        <v>12950</v>
      </c>
      <c r="R266">
        <v>30</v>
      </c>
    </row>
    <row r="267" spans="14:18" x14ac:dyDescent="0.3">
      <c r="N267" t="s">
        <v>8</v>
      </c>
      <c r="O267" t="s">
        <v>37</v>
      </c>
      <c r="P267" t="s">
        <v>15</v>
      </c>
      <c r="Q267" s="4">
        <v>9709</v>
      </c>
      <c r="R267">
        <v>30</v>
      </c>
    </row>
    <row r="268" spans="14:18" x14ac:dyDescent="0.3">
      <c r="N268" t="s">
        <v>40</v>
      </c>
      <c r="O268" t="s">
        <v>39</v>
      </c>
      <c r="P268" t="s">
        <v>27</v>
      </c>
      <c r="Q268" s="4">
        <v>6370</v>
      </c>
      <c r="R268">
        <v>30</v>
      </c>
    </row>
    <row r="269" spans="14:18" x14ac:dyDescent="0.3">
      <c r="N269" t="s">
        <v>40</v>
      </c>
      <c r="O269" t="s">
        <v>36</v>
      </c>
      <c r="P269" t="s">
        <v>25</v>
      </c>
      <c r="Q269" s="4">
        <v>5439</v>
      </c>
      <c r="R269">
        <v>30</v>
      </c>
    </row>
    <row r="270" spans="14:18" x14ac:dyDescent="0.3">
      <c r="N270" t="s">
        <v>10</v>
      </c>
      <c r="O270" t="s">
        <v>37</v>
      </c>
      <c r="P270" t="s">
        <v>23</v>
      </c>
      <c r="Q270" s="4">
        <v>4683</v>
      </c>
      <c r="R270">
        <v>30</v>
      </c>
    </row>
    <row r="271" spans="14:18" x14ac:dyDescent="0.3">
      <c r="N271" t="s">
        <v>6</v>
      </c>
      <c r="O271" t="s">
        <v>36</v>
      </c>
      <c r="P271" t="s">
        <v>13</v>
      </c>
      <c r="Q271" s="4">
        <v>4319</v>
      </c>
      <c r="R271">
        <v>30</v>
      </c>
    </row>
    <row r="272" spans="14:18" x14ac:dyDescent="0.3">
      <c r="N272" t="s">
        <v>8</v>
      </c>
      <c r="O272" t="s">
        <v>39</v>
      </c>
      <c r="P272" t="s">
        <v>18</v>
      </c>
      <c r="Q272" s="4">
        <v>9660</v>
      </c>
      <c r="R272">
        <v>27</v>
      </c>
    </row>
    <row r="273" spans="14:18" x14ac:dyDescent="0.3">
      <c r="N273" t="s">
        <v>9</v>
      </c>
      <c r="O273" t="s">
        <v>34</v>
      </c>
      <c r="P273" t="s">
        <v>21</v>
      </c>
      <c r="Q273" s="4">
        <v>6832</v>
      </c>
      <c r="R273">
        <v>27</v>
      </c>
    </row>
    <row r="274" spans="14:18" x14ac:dyDescent="0.3">
      <c r="N274" t="s">
        <v>6</v>
      </c>
      <c r="O274" t="s">
        <v>39</v>
      </c>
      <c r="P274" t="s">
        <v>17</v>
      </c>
      <c r="Q274" s="4">
        <v>6048</v>
      </c>
      <c r="R274">
        <v>27</v>
      </c>
    </row>
    <row r="275" spans="14:18" x14ac:dyDescent="0.3">
      <c r="N275" t="s">
        <v>10</v>
      </c>
      <c r="O275" t="s">
        <v>37</v>
      </c>
      <c r="P275" t="s">
        <v>28</v>
      </c>
      <c r="Q275" s="4">
        <v>3059</v>
      </c>
      <c r="R275">
        <v>27</v>
      </c>
    </row>
    <row r="276" spans="14:18" x14ac:dyDescent="0.3">
      <c r="N276" t="s">
        <v>7</v>
      </c>
      <c r="O276" t="s">
        <v>35</v>
      </c>
      <c r="P276" t="s">
        <v>16</v>
      </c>
      <c r="Q276" s="4">
        <v>2135</v>
      </c>
      <c r="R276">
        <v>27</v>
      </c>
    </row>
    <row r="277" spans="14:18" x14ac:dyDescent="0.3">
      <c r="N277" t="s">
        <v>8</v>
      </c>
      <c r="O277" t="s">
        <v>39</v>
      </c>
      <c r="P277" t="s">
        <v>26</v>
      </c>
      <c r="Q277" s="4">
        <v>1561</v>
      </c>
      <c r="R277">
        <v>27</v>
      </c>
    </row>
    <row r="278" spans="14:18" x14ac:dyDescent="0.3">
      <c r="N278" t="s">
        <v>10</v>
      </c>
      <c r="O278" t="s">
        <v>34</v>
      </c>
      <c r="P278" t="s">
        <v>22</v>
      </c>
      <c r="Q278" s="4">
        <v>4053</v>
      </c>
      <c r="R278">
        <v>24</v>
      </c>
    </row>
    <row r="279" spans="14:18" x14ac:dyDescent="0.3">
      <c r="N279" t="s">
        <v>7</v>
      </c>
      <c r="O279" t="s">
        <v>34</v>
      </c>
      <c r="P279" t="s">
        <v>15</v>
      </c>
      <c r="Q279" s="4">
        <v>3829</v>
      </c>
      <c r="R279">
        <v>24</v>
      </c>
    </row>
    <row r="280" spans="14:18" x14ac:dyDescent="0.3">
      <c r="N280" t="s">
        <v>2</v>
      </c>
      <c r="O280" t="s">
        <v>36</v>
      </c>
      <c r="P280" t="s">
        <v>16</v>
      </c>
      <c r="Q280" s="4">
        <v>11417</v>
      </c>
      <c r="R280">
        <v>21</v>
      </c>
    </row>
    <row r="281" spans="14:18" x14ac:dyDescent="0.3">
      <c r="N281" t="s">
        <v>5</v>
      </c>
      <c r="O281" t="s">
        <v>37</v>
      </c>
      <c r="P281" t="s">
        <v>25</v>
      </c>
      <c r="Q281" s="4">
        <v>8813</v>
      </c>
      <c r="R281">
        <v>21</v>
      </c>
    </row>
    <row r="282" spans="14:18" x14ac:dyDescent="0.3">
      <c r="N282" t="s">
        <v>40</v>
      </c>
      <c r="O282" t="s">
        <v>37</v>
      </c>
      <c r="P282" t="s">
        <v>19</v>
      </c>
      <c r="Q282" s="4">
        <v>7693</v>
      </c>
      <c r="R282">
        <v>21</v>
      </c>
    </row>
    <row r="283" spans="14:18" x14ac:dyDescent="0.3">
      <c r="N283" t="s">
        <v>5</v>
      </c>
      <c r="O283" t="s">
        <v>34</v>
      </c>
      <c r="P283" t="s">
        <v>27</v>
      </c>
      <c r="Q283" s="4">
        <v>6986</v>
      </c>
      <c r="R283">
        <v>21</v>
      </c>
    </row>
    <row r="284" spans="14:18" x14ac:dyDescent="0.3">
      <c r="N284" t="s">
        <v>5</v>
      </c>
      <c r="O284" t="s">
        <v>38</v>
      </c>
      <c r="P284" t="s">
        <v>32</v>
      </c>
      <c r="Q284" s="4">
        <v>5075</v>
      </c>
      <c r="R284">
        <v>21</v>
      </c>
    </row>
    <row r="285" spans="14:18" x14ac:dyDescent="0.3">
      <c r="N285" t="s">
        <v>7</v>
      </c>
      <c r="O285" t="s">
        <v>35</v>
      </c>
      <c r="P285" t="s">
        <v>27</v>
      </c>
      <c r="Q285" s="4">
        <v>2478</v>
      </c>
      <c r="R285">
        <v>21</v>
      </c>
    </row>
    <row r="286" spans="14:18" x14ac:dyDescent="0.3">
      <c r="N286" t="s">
        <v>41</v>
      </c>
      <c r="O286" t="s">
        <v>38</v>
      </c>
      <c r="P286" t="s">
        <v>25</v>
      </c>
      <c r="Q286" s="4">
        <v>154</v>
      </c>
      <c r="R286">
        <v>21</v>
      </c>
    </row>
    <row r="287" spans="14:18" x14ac:dyDescent="0.3">
      <c r="N287" t="s">
        <v>3</v>
      </c>
      <c r="O287" t="s">
        <v>34</v>
      </c>
      <c r="P287" t="s">
        <v>20</v>
      </c>
      <c r="Q287" s="4">
        <v>2583</v>
      </c>
      <c r="R287">
        <v>18</v>
      </c>
    </row>
    <row r="288" spans="14:18" x14ac:dyDescent="0.3">
      <c r="N288" t="s">
        <v>3</v>
      </c>
      <c r="O288" t="s">
        <v>36</v>
      </c>
      <c r="P288" t="s">
        <v>19</v>
      </c>
      <c r="Q288" s="4">
        <v>1281</v>
      </c>
      <c r="R288">
        <v>18</v>
      </c>
    </row>
    <row r="289" spans="14:18" x14ac:dyDescent="0.3">
      <c r="N289" t="s">
        <v>2</v>
      </c>
      <c r="O289" t="s">
        <v>37</v>
      </c>
      <c r="P289" t="s">
        <v>19</v>
      </c>
      <c r="Q289" s="4">
        <v>238</v>
      </c>
      <c r="R289">
        <v>18</v>
      </c>
    </row>
    <row r="290" spans="14:18" x14ac:dyDescent="0.3">
      <c r="N290" t="s">
        <v>5</v>
      </c>
      <c r="O290" t="s">
        <v>36</v>
      </c>
      <c r="P290" t="s">
        <v>23</v>
      </c>
      <c r="Q290" s="4">
        <v>6314</v>
      </c>
      <c r="R290">
        <v>15</v>
      </c>
    </row>
    <row r="291" spans="14:18" x14ac:dyDescent="0.3">
      <c r="N291" t="s">
        <v>5</v>
      </c>
      <c r="O291" t="s">
        <v>35</v>
      </c>
      <c r="P291" t="s">
        <v>18</v>
      </c>
      <c r="Q291" s="4">
        <v>2415</v>
      </c>
      <c r="R291">
        <v>15</v>
      </c>
    </row>
    <row r="292" spans="14:18" x14ac:dyDescent="0.3">
      <c r="N292" t="s">
        <v>6</v>
      </c>
      <c r="O292" t="s">
        <v>34</v>
      </c>
      <c r="P292" t="s">
        <v>15</v>
      </c>
      <c r="Q292" s="4">
        <v>1442</v>
      </c>
      <c r="R292">
        <v>15</v>
      </c>
    </row>
    <row r="293" spans="14:18" x14ac:dyDescent="0.3">
      <c r="N293" t="s">
        <v>2</v>
      </c>
      <c r="O293" t="s">
        <v>35</v>
      </c>
      <c r="P293" t="s">
        <v>19</v>
      </c>
      <c r="Q293" s="4">
        <v>553</v>
      </c>
      <c r="R293">
        <v>15</v>
      </c>
    </row>
    <row r="294" spans="14:18" x14ac:dyDescent="0.3">
      <c r="N294" t="s">
        <v>40</v>
      </c>
      <c r="O294" t="s">
        <v>39</v>
      </c>
      <c r="P294" t="s">
        <v>22</v>
      </c>
      <c r="Q294" s="4">
        <v>5817</v>
      </c>
      <c r="R294">
        <v>12</v>
      </c>
    </row>
    <row r="295" spans="14:18" x14ac:dyDescent="0.3">
      <c r="N295" t="s">
        <v>5</v>
      </c>
      <c r="O295" t="s">
        <v>37</v>
      </c>
      <c r="P295" t="s">
        <v>14</v>
      </c>
      <c r="Q295" s="4">
        <v>4991</v>
      </c>
      <c r="R295">
        <v>12</v>
      </c>
    </row>
    <row r="296" spans="14:18" x14ac:dyDescent="0.3">
      <c r="N296" t="s">
        <v>6</v>
      </c>
      <c r="O296" t="s">
        <v>36</v>
      </c>
      <c r="P296" t="s">
        <v>32</v>
      </c>
      <c r="Q296" s="4">
        <v>6118</v>
      </c>
      <c r="R296">
        <v>9</v>
      </c>
    </row>
    <row r="297" spans="14:18" x14ac:dyDescent="0.3">
      <c r="N297" t="s">
        <v>10</v>
      </c>
      <c r="O297" t="s">
        <v>34</v>
      </c>
      <c r="P297" t="s">
        <v>26</v>
      </c>
      <c r="Q297" s="4">
        <v>4991</v>
      </c>
      <c r="R297">
        <v>9</v>
      </c>
    </row>
    <row r="298" spans="14:18" x14ac:dyDescent="0.3">
      <c r="N298" t="s">
        <v>41</v>
      </c>
      <c r="O298" t="s">
        <v>37</v>
      </c>
      <c r="P298" t="s">
        <v>21</v>
      </c>
      <c r="Q298" s="4">
        <v>2933</v>
      </c>
      <c r="R298">
        <v>9</v>
      </c>
    </row>
    <row r="299" spans="14:18" x14ac:dyDescent="0.3">
      <c r="N299" t="s">
        <v>5</v>
      </c>
      <c r="O299" t="s">
        <v>35</v>
      </c>
      <c r="P299" t="s">
        <v>4</v>
      </c>
      <c r="Q299" s="4">
        <v>2744</v>
      </c>
      <c r="R299">
        <v>9</v>
      </c>
    </row>
    <row r="300" spans="14:18" x14ac:dyDescent="0.3">
      <c r="N300" t="s">
        <v>9</v>
      </c>
      <c r="O300" t="s">
        <v>38</v>
      </c>
      <c r="P300" t="s">
        <v>17</v>
      </c>
      <c r="Q300" s="4">
        <v>2408</v>
      </c>
      <c r="R300">
        <v>9</v>
      </c>
    </row>
    <row r="301" spans="14:18" x14ac:dyDescent="0.3">
      <c r="N301" t="s">
        <v>6</v>
      </c>
      <c r="O301" t="s">
        <v>37</v>
      </c>
      <c r="P301" t="s">
        <v>26</v>
      </c>
      <c r="Q301" s="4">
        <v>6818</v>
      </c>
      <c r="R301">
        <v>6</v>
      </c>
    </row>
    <row r="302" spans="14:18" x14ac:dyDescent="0.3">
      <c r="N302" t="s">
        <v>10</v>
      </c>
      <c r="O302" t="s">
        <v>35</v>
      </c>
      <c r="P302" t="s">
        <v>15</v>
      </c>
      <c r="Q302" s="4">
        <v>2562</v>
      </c>
      <c r="R302">
        <v>6</v>
      </c>
    </row>
    <row r="303" spans="14:18" x14ac:dyDescent="0.3">
      <c r="N303" t="s">
        <v>6</v>
      </c>
      <c r="O303" t="s">
        <v>38</v>
      </c>
      <c r="P303" t="s">
        <v>16</v>
      </c>
      <c r="Q303" s="4">
        <v>938</v>
      </c>
      <c r="R303">
        <v>6</v>
      </c>
    </row>
    <row r="304" spans="14:18" x14ac:dyDescent="0.3">
      <c r="N304" t="s">
        <v>5</v>
      </c>
      <c r="O304" t="s">
        <v>36</v>
      </c>
      <c r="P304" t="s">
        <v>18</v>
      </c>
      <c r="Q304" s="4">
        <v>6111</v>
      </c>
      <c r="R304">
        <v>3</v>
      </c>
    </row>
    <row r="305" spans="14:18" x14ac:dyDescent="0.3">
      <c r="N305" t="s">
        <v>41</v>
      </c>
      <c r="O305" t="s">
        <v>38</v>
      </c>
      <c r="P305" t="s">
        <v>22</v>
      </c>
      <c r="Q305" s="4">
        <v>5915</v>
      </c>
      <c r="R305">
        <v>3</v>
      </c>
    </row>
    <row r="306" spans="14:18" x14ac:dyDescent="0.3">
      <c r="N306" t="s">
        <v>2</v>
      </c>
      <c r="O306" t="s">
        <v>38</v>
      </c>
      <c r="P306" t="s">
        <v>4</v>
      </c>
      <c r="Q306" s="4">
        <v>3549</v>
      </c>
      <c r="R306">
        <v>3</v>
      </c>
    </row>
    <row r="307" spans="14:18" x14ac:dyDescent="0.3">
      <c r="N307" t="s">
        <v>6</v>
      </c>
      <c r="O307" t="s">
        <v>39</v>
      </c>
      <c r="P307" t="s">
        <v>24</v>
      </c>
      <c r="Q307" s="4">
        <v>2989</v>
      </c>
      <c r="R307">
        <v>3</v>
      </c>
    </row>
    <row r="308" spans="14:18" x14ac:dyDescent="0.3">
      <c r="N308" t="s">
        <v>7</v>
      </c>
      <c r="O308" t="s">
        <v>37</v>
      </c>
      <c r="P308" t="s">
        <v>26</v>
      </c>
      <c r="Q308" s="4">
        <v>5306</v>
      </c>
      <c r="R308">
        <v>0</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74640-E198-418C-88CF-ACFFA9568C3B}">
  <dimension ref="B2:P328"/>
  <sheetViews>
    <sheetView topLeftCell="B10" workbookViewId="0">
      <selection activeCell="J33" sqref="J33"/>
    </sheetView>
  </sheetViews>
  <sheetFormatPr defaultRowHeight="14.4" x14ac:dyDescent="0.3"/>
  <cols>
    <col min="3" max="3" width="15.5546875" bestFit="1" customWidth="1"/>
    <col min="4" max="4" width="14.44140625" bestFit="1" customWidth="1"/>
    <col min="10" max="10" width="15.5546875" bestFit="1" customWidth="1"/>
    <col min="11" max="11" width="14.44140625" bestFit="1" customWidth="1"/>
    <col min="12" max="12" width="15" customWidth="1"/>
    <col min="13" max="13" width="13.33203125" customWidth="1"/>
  </cols>
  <sheetData>
    <row r="2" spans="2:11" ht="61.2" x14ac:dyDescent="1.1000000000000001">
      <c r="B2" s="9" t="s">
        <v>79</v>
      </c>
    </row>
    <row r="6" spans="2:11" ht="21" x14ac:dyDescent="0.4">
      <c r="C6" s="10" t="s">
        <v>81</v>
      </c>
      <c r="J6" s="10" t="s">
        <v>82</v>
      </c>
    </row>
    <row r="8" spans="2:11" x14ac:dyDescent="0.3">
      <c r="C8" s="19" t="s">
        <v>72</v>
      </c>
      <c r="D8" t="s">
        <v>74</v>
      </c>
      <c r="J8" s="19" t="s">
        <v>72</v>
      </c>
      <c r="K8" t="s">
        <v>74</v>
      </c>
    </row>
    <row r="9" spans="2:11" x14ac:dyDescent="0.3">
      <c r="C9" s="20" t="s">
        <v>38</v>
      </c>
      <c r="D9" s="4">
        <v>25221</v>
      </c>
      <c r="J9" s="20" t="s">
        <v>38</v>
      </c>
      <c r="K9" s="4">
        <v>6069</v>
      </c>
    </row>
    <row r="10" spans="2:11" x14ac:dyDescent="0.3">
      <c r="C10" s="23" t="s">
        <v>5</v>
      </c>
      <c r="D10" s="4">
        <v>25221</v>
      </c>
      <c r="J10" s="23" t="s">
        <v>41</v>
      </c>
      <c r="K10" s="4">
        <v>6069</v>
      </c>
    </row>
    <row r="11" spans="2:11" x14ac:dyDescent="0.3">
      <c r="C11" s="20" t="s">
        <v>36</v>
      </c>
      <c r="D11" s="4">
        <v>39620</v>
      </c>
      <c r="J11" s="20" t="s">
        <v>36</v>
      </c>
      <c r="K11" s="4">
        <v>5019</v>
      </c>
    </row>
    <row r="12" spans="2:11" x14ac:dyDescent="0.3">
      <c r="C12" s="23" t="s">
        <v>5</v>
      </c>
      <c r="D12" s="4">
        <v>39620</v>
      </c>
      <c r="J12" s="23" t="s">
        <v>8</v>
      </c>
      <c r="K12" s="4">
        <v>5019</v>
      </c>
    </row>
    <row r="13" spans="2:11" x14ac:dyDescent="0.3">
      <c r="C13" s="20" t="s">
        <v>34</v>
      </c>
      <c r="D13" s="4">
        <v>41559</v>
      </c>
      <c r="J13" s="20" t="s">
        <v>34</v>
      </c>
      <c r="K13" s="4">
        <v>5516</v>
      </c>
    </row>
    <row r="14" spans="2:11" x14ac:dyDescent="0.3">
      <c r="C14" s="23" t="s">
        <v>5</v>
      </c>
      <c r="D14" s="4">
        <v>41559</v>
      </c>
      <c r="J14" s="23" t="s">
        <v>8</v>
      </c>
      <c r="K14" s="4">
        <v>5516</v>
      </c>
    </row>
    <row r="15" spans="2:11" x14ac:dyDescent="0.3">
      <c r="C15" s="20" t="s">
        <v>37</v>
      </c>
      <c r="D15" s="4">
        <v>43568</v>
      </c>
      <c r="J15" s="20" t="s">
        <v>37</v>
      </c>
      <c r="K15" s="4">
        <v>7987</v>
      </c>
    </row>
    <row r="16" spans="2:11" x14ac:dyDescent="0.3">
      <c r="C16" s="23" t="s">
        <v>7</v>
      </c>
      <c r="D16" s="4">
        <v>43568</v>
      </c>
      <c r="J16" s="23" t="s">
        <v>10</v>
      </c>
      <c r="K16" s="4">
        <v>7987</v>
      </c>
    </row>
    <row r="17" spans="3:16" x14ac:dyDescent="0.3">
      <c r="C17" s="20" t="s">
        <v>39</v>
      </c>
      <c r="D17" s="4">
        <v>45752</v>
      </c>
      <c r="J17" s="20" t="s">
        <v>39</v>
      </c>
      <c r="K17" s="4">
        <v>3976</v>
      </c>
    </row>
    <row r="18" spans="3:16" x14ac:dyDescent="0.3">
      <c r="C18" s="23" t="s">
        <v>2</v>
      </c>
      <c r="D18" s="4">
        <v>45752</v>
      </c>
      <c r="J18" s="23" t="s">
        <v>41</v>
      </c>
      <c r="K18" s="4">
        <v>3976</v>
      </c>
    </row>
    <row r="19" spans="3:16" x14ac:dyDescent="0.3">
      <c r="C19" s="20" t="s">
        <v>35</v>
      </c>
      <c r="D19" s="4">
        <v>38325</v>
      </c>
      <c r="J19" s="20" t="s">
        <v>35</v>
      </c>
      <c r="K19" s="4">
        <v>2142</v>
      </c>
    </row>
    <row r="20" spans="3:16" x14ac:dyDescent="0.3">
      <c r="C20" s="23" t="s">
        <v>40</v>
      </c>
      <c r="D20" s="4">
        <v>38325</v>
      </c>
      <c r="J20" s="23" t="s">
        <v>2</v>
      </c>
      <c r="K20" s="4">
        <v>2142</v>
      </c>
    </row>
    <row r="21" spans="3:16" x14ac:dyDescent="0.3">
      <c r="C21" s="20" t="s">
        <v>73</v>
      </c>
      <c r="D21" s="4">
        <v>234045</v>
      </c>
      <c r="J21" s="20" t="s">
        <v>73</v>
      </c>
      <c r="K21" s="4">
        <v>30709</v>
      </c>
    </row>
    <row r="29" spans="3:16" x14ac:dyDescent="0.3">
      <c r="P29" s="4"/>
    </row>
    <row r="30" spans="3:16" x14ac:dyDescent="0.3">
      <c r="P30" s="4"/>
    </row>
    <row r="31" spans="3:16" x14ac:dyDescent="0.3">
      <c r="P31" s="4"/>
    </row>
    <row r="32" spans="3:16" x14ac:dyDescent="0.3">
      <c r="P32" s="4"/>
    </row>
    <row r="33" spans="16:16" x14ac:dyDescent="0.3">
      <c r="P33" s="4"/>
    </row>
    <row r="34" spans="16:16" x14ac:dyDescent="0.3">
      <c r="P34" s="4"/>
    </row>
    <row r="35" spans="16:16" x14ac:dyDescent="0.3">
      <c r="P35" s="4"/>
    </row>
    <row r="36" spans="16:16" x14ac:dyDescent="0.3">
      <c r="P36" s="4"/>
    </row>
    <row r="37" spans="16:16" x14ac:dyDescent="0.3">
      <c r="P37" s="4"/>
    </row>
    <row r="38" spans="16:16" x14ac:dyDescent="0.3">
      <c r="P38" s="4"/>
    </row>
    <row r="39" spans="16:16" x14ac:dyDescent="0.3">
      <c r="P39" s="4"/>
    </row>
    <row r="40" spans="16:16" x14ac:dyDescent="0.3">
      <c r="P40" s="4"/>
    </row>
    <row r="41" spans="16:16" x14ac:dyDescent="0.3">
      <c r="P41" s="4"/>
    </row>
    <row r="42" spans="16:16" x14ac:dyDescent="0.3">
      <c r="P42" s="4"/>
    </row>
    <row r="43" spans="16:16" x14ac:dyDescent="0.3">
      <c r="P43" s="4"/>
    </row>
    <row r="44" spans="16:16" x14ac:dyDescent="0.3">
      <c r="P44" s="4"/>
    </row>
    <row r="45" spans="16:16" x14ac:dyDescent="0.3">
      <c r="P45" s="4"/>
    </row>
    <row r="46" spans="16:16" x14ac:dyDescent="0.3">
      <c r="P46" s="4"/>
    </row>
    <row r="47" spans="16:16" x14ac:dyDescent="0.3">
      <c r="P47" s="4"/>
    </row>
    <row r="48" spans="16:16" x14ac:dyDescent="0.3">
      <c r="P48" s="4"/>
    </row>
    <row r="49" spans="16:16" x14ac:dyDescent="0.3">
      <c r="P49" s="4"/>
    </row>
    <row r="50" spans="16:16" x14ac:dyDescent="0.3">
      <c r="P50" s="4"/>
    </row>
    <row r="51" spans="16:16" x14ac:dyDescent="0.3">
      <c r="P51" s="4"/>
    </row>
    <row r="52" spans="16:16" x14ac:dyDescent="0.3">
      <c r="P52" s="4"/>
    </row>
    <row r="53" spans="16:16" x14ac:dyDescent="0.3">
      <c r="P53" s="4"/>
    </row>
    <row r="54" spans="16:16" x14ac:dyDescent="0.3">
      <c r="P54" s="4"/>
    </row>
    <row r="55" spans="16:16" x14ac:dyDescent="0.3">
      <c r="P55" s="4"/>
    </row>
    <row r="56" spans="16:16" x14ac:dyDescent="0.3">
      <c r="P56" s="4"/>
    </row>
    <row r="57" spans="16:16" x14ac:dyDescent="0.3">
      <c r="P57" s="4"/>
    </row>
    <row r="58" spans="16:16" x14ac:dyDescent="0.3">
      <c r="P58" s="4"/>
    </row>
    <row r="59" spans="16:16" x14ac:dyDescent="0.3">
      <c r="P59" s="4"/>
    </row>
    <row r="60" spans="16:16" x14ac:dyDescent="0.3">
      <c r="P60" s="4"/>
    </row>
    <row r="61" spans="16:16" x14ac:dyDescent="0.3">
      <c r="P61" s="4"/>
    </row>
    <row r="62" spans="16:16" x14ac:dyDescent="0.3">
      <c r="P62" s="4"/>
    </row>
    <row r="63" spans="16:16" x14ac:dyDescent="0.3">
      <c r="P63" s="4"/>
    </row>
    <row r="64" spans="16:16" x14ac:dyDescent="0.3">
      <c r="P64" s="4"/>
    </row>
    <row r="65" spans="16:16" x14ac:dyDescent="0.3">
      <c r="P65" s="4"/>
    </row>
    <row r="66" spans="16:16" x14ac:dyDescent="0.3">
      <c r="P66" s="4"/>
    </row>
    <row r="67" spans="16:16" x14ac:dyDescent="0.3">
      <c r="P67" s="4"/>
    </row>
    <row r="68" spans="16:16" x14ac:dyDescent="0.3">
      <c r="P68" s="4"/>
    </row>
    <row r="69" spans="16:16" x14ac:dyDescent="0.3">
      <c r="P69" s="4"/>
    </row>
    <row r="70" spans="16:16" x14ac:dyDescent="0.3">
      <c r="P70" s="4"/>
    </row>
    <row r="71" spans="16:16" x14ac:dyDescent="0.3">
      <c r="P71" s="4"/>
    </row>
    <row r="72" spans="16:16" x14ac:dyDescent="0.3">
      <c r="P72" s="4"/>
    </row>
    <row r="73" spans="16:16" x14ac:dyDescent="0.3">
      <c r="P73" s="4"/>
    </row>
    <row r="74" spans="16:16" x14ac:dyDescent="0.3">
      <c r="P74" s="4"/>
    </row>
    <row r="75" spans="16:16" x14ac:dyDescent="0.3">
      <c r="P75" s="4"/>
    </row>
    <row r="76" spans="16:16" x14ac:dyDescent="0.3">
      <c r="P76" s="4"/>
    </row>
    <row r="77" spans="16:16" x14ac:dyDescent="0.3">
      <c r="P77" s="4"/>
    </row>
    <row r="78" spans="16:16" x14ac:dyDescent="0.3">
      <c r="P78" s="4"/>
    </row>
    <row r="79" spans="16:16" x14ac:dyDescent="0.3">
      <c r="P79" s="4"/>
    </row>
    <row r="80" spans="16:16" x14ac:dyDescent="0.3">
      <c r="P80" s="4"/>
    </row>
    <row r="81" spans="16:16" x14ac:dyDescent="0.3">
      <c r="P81" s="4"/>
    </row>
    <row r="82" spans="16:16" x14ac:dyDescent="0.3">
      <c r="P82" s="4"/>
    </row>
    <row r="83" spans="16:16" x14ac:dyDescent="0.3">
      <c r="P83" s="4"/>
    </row>
    <row r="84" spans="16:16" x14ac:dyDescent="0.3">
      <c r="P84" s="4"/>
    </row>
    <row r="85" spans="16:16" x14ac:dyDescent="0.3">
      <c r="P85" s="4"/>
    </row>
    <row r="86" spans="16:16" x14ac:dyDescent="0.3">
      <c r="P86" s="4"/>
    </row>
    <row r="87" spans="16:16" x14ac:dyDescent="0.3">
      <c r="P87" s="4"/>
    </row>
    <row r="88" spans="16:16" x14ac:dyDescent="0.3">
      <c r="P88" s="4"/>
    </row>
    <row r="89" spans="16:16" x14ac:dyDescent="0.3">
      <c r="P89" s="4"/>
    </row>
    <row r="90" spans="16:16" x14ac:dyDescent="0.3">
      <c r="P90" s="4"/>
    </row>
    <row r="91" spans="16:16" x14ac:dyDescent="0.3">
      <c r="P91" s="4"/>
    </row>
    <row r="92" spans="16:16" x14ac:dyDescent="0.3">
      <c r="P92" s="4"/>
    </row>
    <row r="93" spans="16:16" x14ac:dyDescent="0.3">
      <c r="P93" s="4"/>
    </row>
    <row r="94" spans="16:16" x14ac:dyDescent="0.3">
      <c r="P94" s="4"/>
    </row>
    <row r="95" spans="16:16" x14ac:dyDescent="0.3">
      <c r="P95" s="4"/>
    </row>
    <row r="96" spans="16:16" x14ac:dyDescent="0.3">
      <c r="P96" s="4"/>
    </row>
    <row r="97" spans="16:16" x14ac:dyDescent="0.3">
      <c r="P97" s="4"/>
    </row>
    <row r="98" spans="16:16" x14ac:dyDescent="0.3">
      <c r="P98" s="4"/>
    </row>
    <row r="99" spans="16:16" x14ac:dyDescent="0.3">
      <c r="P99" s="4"/>
    </row>
    <row r="100" spans="16:16" x14ac:dyDescent="0.3">
      <c r="P100" s="4"/>
    </row>
    <row r="101" spans="16:16" x14ac:dyDescent="0.3">
      <c r="P101" s="4"/>
    </row>
    <row r="102" spans="16:16" x14ac:dyDescent="0.3">
      <c r="P102" s="4"/>
    </row>
    <row r="103" spans="16:16" x14ac:dyDescent="0.3">
      <c r="P103" s="4"/>
    </row>
    <row r="104" spans="16:16" x14ac:dyDescent="0.3">
      <c r="P104" s="4"/>
    </row>
    <row r="105" spans="16:16" x14ac:dyDescent="0.3">
      <c r="P105" s="4"/>
    </row>
    <row r="106" spans="16:16" x14ac:dyDescent="0.3">
      <c r="P106" s="4"/>
    </row>
    <row r="107" spans="16:16" x14ac:dyDescent="0.3">
      <c r="P107" s="4"/>
    </row>
    <row r="108" spans="16:16" x14ac:dyDescent="0.3">
      <c r="P108" s="4"/>
    </row>
    <row r="109" spans="16:16" x14ac:dyDescent="0.3">
      <c r="P109" s="4"/>
    </row>
    <row r="110" spans="16:16" x14ac:dyDescent="0.3">
      <c r="P110" s="4"/>
    </row>
    <row r="111" spans="16:16" x14ac:dyDescent="0.3">
      <c r="P111" s="4"/>
    </row>
    <row r="112" spans="16:16" x14ac:dyDescent="0.3">
      <c r="P112" s="4"/>
    </row>
    <row r="113" spans="16:16" x14ac:dyDescent="0.3">
      <c r="P113" s="4"/>
    </row>
    <row r="114" spans="16:16" x14ac:dyDescent="0.3">
      <c r="P114" s="4"/>
    </row>
    <row r="115" spans="16:16" x14ac:dyDescent="0.3">
      <c r="P115" s="4"/>
    </row>
    <row r="116" spans="16:16" x14ac:dyDescent="0.3">
      <c r="P116" s="4"/>
    </row>
    <row r="117" spans="16:16" x14ac:dyDescent="0.3">
      <c r="P117" s="4"/>
    </row>
    <row r="118" spans="16:16" x14ac:dyDescent="0.3">
      <c r="P118" s="4"/>
    </row>
    <row r="119" spans="16:16" x14ac:dyDescent="0.3">
      <c r="P119" s="4"/>
    </row>
    <row r="120" spans="16:16" x14ac:dyDescent="0.3">
      <c r="P120" s="4"/>
    </row>
    <row r="121" spans="16:16" x14ac:dyDescent="0.3">
      <c r="P121" s="4"/>
    </row>
    <row r="122" spans="16:16" x14ac:dyDescent="0.3">
      <c r="P122" s="4"/>
    </row>
    <row r="123" spans="16:16" x14ac:dyDescent="0.3">
      <c r="P123" s="4"/>
    </row>
    <row r="124" spans="16:16" x14ac:dyDescent="0.3">
      <c r="P124" s="4"/>
    </row>
    <row r="125" spans="16:16" x14ac:dyDescent="0.3">
      <c r="P125" s="4"/>
    </row>
    <row r="126" spans="16:16" x14ac:dyDescent="0.3">
      <c r="P126" s="4"/>
    </row>
    <row r="127" spans="16:16" x14ac:dyDescent="0.3">
      <c r="P127" s="4"/>
    </row>
    <row r="128" spans="16:16" x14ac:dyDescent="0.3">
      <c r="P128" s="4"/>
    </row>
    <row r="129" spans="16:16" x14ac:dyDescent="0.3">
      <c r="P129" s="4"/>
    </row>
    <row r="130" spans="16:16" x14ac:dyDescent="0.3">
      <c r="P130" s="4"/>
    </row>
    <row r="131" spans="16:16" x14ac:dyDescent="0.3">
      <c r="P131" s="4"/>
    </row>
    <row r="132" spans="16:16" x14ac:dyDescent="0.3">
      <c r="P132" s="4"/>
    </row>
    <row r="133" spans="16:16" x14ac:dyDescent="0.3">
      <c r="P133" s="4"/>
    </row>
    <row r="134" spans="16:16" x14ac:dyDescent="0.3">
      <c r="P134" s="4"/>
    </row>
    <row r="135" spans="16:16" x14ac:dyDescent="0.3">
      <c r="P135" s="4"/>
    </row>
    <row r="136" spans="16:16" x14ac:dyDescent="0.3">
      <c r="P136" s="4"/>
    </row>
    <row r="137" spans="16:16" x14ac:dyDescent="0.3">
      <c r="P137" s="4"/>
    </row>
    <row r="138" spans="16:16" x14ac:dyDescent="0.3">
      <c r="P138" s="4"/>
    </row>
    <row r="139" spans="16:16" x14ac:dyDescent="0.3">
      <c r="P139" s="4"/>
    </row>
    <row r="140" spans="16:16" x14ac:dyDescent="0.3">
      <c r="P140" s="4"/>
    </row>
    <row r="141" spans="16:16" x14ac:dyDescent="0.3">
      <c r="P141" s="4"/>
    </row>
    <row r="142" spans="16:16" x14ac:dyDescent="0.3">
      <c r="P142" s="4"/>
    </row>
    <row r="143" spans="16:16" x14ac:dyDescent="0.3">
      <c r="P143" s="4"/>
    </row>
    <row r="144" spans="16:16" x14ac:dyDescent="0.3">
      <c r="P144" s="4"/>
    </row>
    <row r="145" spans="16:16" x14ac:dyDescent="0.3">
      <c r="P145" s="4"/>
    </row>
    <row r="146" spans="16:16" x14ac:dyDescent="0.3">
      <c r="P146" s="4"/>
    </row>
    <row r="147" spans="16:16" x14ac:dyDescent="0.3">
      <c r="P147" s="4"/>
    </row>
    <row r="148" spans="16:16" x14ac:dyDescent="0.3">
      <c r="P148" s="4"/>
    </row>
    <row r="149" spans="16:16" x14ac:dyDescent="0.3">
      <c r="P149" s="4"/>
    </row>
    <row r="150" spans="16:16" x14ac:dyDescent="0.3">
      <c r="P150" s="4"/>
    </row>
    <row r="151" spans="16:16" x14ac:dyDescent="0.3">
      <c r="P151" s="4"/>
    </row>
    <row r="152" spans="16:16" x14ac:dyDescent="0.3">
      <c r="P152" s="4"/>
    </row>
    <row r="153" spans="16:16" x14ac:dyDescent="0.3">
      <c r="P153" s="4"/>
    </row>
    <row r="154" spans="16:16" x14ac:dyDescent="0.3">
      <c r="P154" s="4"/>
    </row>
    <row r="155" spans="16:16" x14ac:dyDescent="0.3">
      <c r="P155" s="4"/>
    </row>
    <row r="156" spans="16:16" x14ac:dyDescent="0.3">
      <c r="P156" s="4"/>
    </row>
    <row r="157" spans="16:16" x14ac:dyDescent="0.3">
      <c r="P157" s="4"/>
    </row>
    <row r="158" spans="16:16" x14ac:dyDescent="0.3">
      <c r="P158" s="4"/>
    </row>
    <row r="159" spans="16:16" x14ac:dyDescent="0.3">
      <c r="P159" s="4"/>
    </row>
    <row r="160" spans="16:16" x14ac:dyDescent="0.3">
      <c r="P160" s="4"/>
    </row>
    <row r="161" spans="16:16" x14ac:dyDescent="0.3">
      <c r="P161" s="4"/>
    </row>
    <row r="162" spans="16:16" x14ac:dyDescent="0.3">
      <c r="P162" s="4"/>
    </row>
    <row r="163" spans="16:16" x14ac:dyDescent="0.3">
      <c r="P163" s="4"/>
    </row>
    <row r="164" spans="16:16" x14ac:dyDescent="0.3">
      <c r="P164" s="4"/>
    </row>
    <row r="165" spans="16:16" x14ac:dyDescent="0.3">
      <c r="P165" s="4"/>
    </row>
    <row r="166" spans="16:16" x14ac:dyDescent="0.3">
      <c r="P166" s="4"/>
    </row>
    <row r="167" spans="16:16" x14ac:dyDescent="0.3">
      <c r="P167" s="4"/>
    </row>
    <row r="168" spans="16:16" x14ac:dyDescent="0.3">
      <c r="P168" s="4"/>
    </row>
    <row r="169" spans="16:16" x14ac:dyDescent="0.3">
      <c r="P169" s="4"/>
    </row>
    <row r="170" spans="16:16" x14ac:dyDescent="0.3">
      <c r="P170" s="4"/>
    </row>
    <row r="171" spans="16:16" x14ac:dyDescent="0.3">
      <c r="P171" s="4"/>
    </row>
    <row r="172" spans="16:16" x14ac:dyDescent="0.3">
      <c r="P172" s="4"/>
    </row>
    <row r="173" spans="16:16" x14ac:dyDescent="0.3">
      <c r="P173" s="4"/>
    </row>
    <row r="174" spans="16:16" x14ac:dyDescent="0.3">
      <c r="P174" s="4"/>
    </row>
    <row r="175" spans="16:16" x14ac:dyDescent="0.3">
      <c r="P175" s="4"/>
    </row>
    <row r="176" spans="16:16" x14ac:dyDescent="0.3">
      <c r="P176" s="4"/>
    </row>
    <row r="177" spans="16:16" x14ac:dyDescent="0.3">
      <c r="P177" s="4"/>
    </row>
    <row r="178" spans="16:16" x14ac:dyDescent="0.3">
      <c r="P178" s="4"/>
    </row>
    <row r="179" spans="16:16" x14ac:dyDescent="0.3">
      <c r="P179" s="4"/>
    </row>
    <row r="180" spans="16:16" x14ac:dyDescent="0.3">
      <c r="P180" s="4"/>
    </row>
    <row r="181" spans="16:16" x14ac:dyDescent="0.3">
      <c r="P181" s="4"/>
    </row>
    <row r="182" spans="16:16" x14ac:dyDescent="0.3">
      <c r="P182" s="4"/>
    </row>
    <row r="183" spans="16:16" x14ac:dyDescent="0.3">
      <c r="P183" s="4"/>
    </row>
    <row r="184" spans="16:16" x14ac:dyDescent="0.3">
      <c r="P184" s="4"/>
    </row>
    <row r="185" spans="16:16" x14ac:dyDescent="0.3">
      <c r="P185" s="4"/>
    </row>
    <row r="186" spans="16:16" x14ac:dyDescent="0.3">
      <c r="P186" s="4"/>
    </row>
    <row r="187" spans="16:16" x14ac:dyDescent="0.3">
      <c r="P187" s="4"/>
    </row>
    <row r="188" spans="16:16" x14ac:dyDescent="0.3">
      <c r="P188" s="4"/>
    </row>
    <row r="189" spans="16:16" x14ac:dyDescent="0.3">
      <c r="P189" s="4"/>
    </row>
    <row r="190" spans="16:16" x14ac:dyDescent="0.3">
      <c r="P190" s="4"/>
    </row>
    <row r="191" spans="16:16" x14ac:dyDescent="0.3">
      <c r="P191" s="4"/>
    </row>
    <row r="192" spans="16:16" x14ac:dyDescent="0.3">
      <c r="P192" s="4"/>
    </row>
    <row r="193" spans="16:16" x14ac:dyDescent="0.3">
      <c r="P193" s="4"/>
    </row>
    <row r="194" spans="16:16" x14ac:dyDescent="0.3">
      <c r="P194" s="4"/>
    </row>
    <row r="195" spans="16:16" x14ac:dyDescent="0.3">
      <c r="P195" s="4"/>
    </row>
    <row r="196" spans="16:16" x14ac:dyDescent="0.3">
      <c r="P196" s="4"/>
    </row>
    <row r="197" spans="16:16" x14ac:dyDescent="0.3">
      <c r="P197" s="4"/>
    </row>
    <row r="198" spans="16:16" x14ac:dyDescent="0.3">
      <c r="P198" s="4"/>
    </row>
    <row r="199" spans="16:16" x14ac:dyDescent="0.3">
      <c r="P199" s="4"/>
    </row>
    <row r="200" spans="16:16" x14ac:dyDescent="0.3">
      <c r="P200" s="4"/>
    </row>
    <row r="201" spans="16:16" x14ac:dyDescent="0.3">
      <c r="P201" s="4"/>
    </row>
    <row r="202" spans="16:16" x14ac:dyDescent="0.3">
      <c r="P202" s="4"/>
    </row>
    <row r="203" spans="16:16" x14ac:dyDescent="0.3">
      <c r="P203" s="4"/>
    </row>
    <row r="204" spans="16:16" x14ac:dyDescent="0.3">
      <c r="P204" s="4"/>
    </row>
    <row r="205" spans="16:16" x14ac:dyDescent="0.3">
      <c r="P205" s="4"/>
    </row>
    <row r="206" spans="16:16" x14ac:dyDescent="0.3">
      <c r="P206" s="4"/>
    </row>
    <row r="207" spans="16:16" x14ac:dyDescent="0.3">
      <c r="P207" s="4"/>
    </row>
    <row r="208" spans="16:16" x14ac:dyDescent="0.3">
      <c r="P208" s="4"/>
    </row>
    <row r="209" spans="16:16" x14ac:dyDescent="0.3">
      <c r="P209" s="4"/>
    </row>
    <row r="210" spans="16:16" x14ac:dyDescent="0.3">
      <c r="P210" s="4"/>
    </row>
    <row r="211" spans="16:16" x14ac:dyDescent="0.3">
      <c r="P211" s="4"/>
    </row>
    <row r="212" spans="16:16" x14ac:dyDescent="0.3">
      <c r="P212" s="4"/>
    </row>
    <row r="213" spans="16:16" x14ac:dyDescent="0.3">
      <c r="P213" s="4"/>
    </row>
    <row r="214" spans="16:16" x14ac:dyDescent="0.3">
      <c r="P214" s="4"/>
    </row>
    <row r="215" spans="16:16" x14ac:dyDescent="0.3">
      <c r="P215" s="4"/>
    </row>
    <row r="216" spans="16:16" x14ac:dyDescent="0.3">
      <c r="P216" s="4"/>
    </row>
    <row r="217" spans="16:16" x14ac:dyDescent="0.3">
      <c r="P217" s="4"/>
    </row>
    <row r="218" spans="16:16" x14ac:dyDescent="0.3">
      <c r="P218" s="4"/>
    </row>
    <row r="219" spans="16:16" x14ac:dyDescent="0.3">
      <c r="P219" s="4"/>
    </row>
    <row r="220" spans="16:16" x14ac:dyDescent="0.3">
      <c r="P220" s="4"/>
    </row>
    <row r="221" spans="16:16" x14ac:dyDescent="0.3">
      <c r="P221" s="4"/>
    </row>
    <row r="222" spans="16:16" x14ac:dyDescent="0.3">
      <c r="P222" s="4"/>
    </row>
    <row r="223" spans="16:16" x14ac:dyDescent="0.3">
      <c r="P223" s="4"/>
    </row>
    <row r="224" spans="16:16" x14ac:dyDescent="0.3">
      <c r="P224" s="4"/>
    </row>
    <row r="225" spans="16:16" x14ac:dyDescent="0.3">
      <c r="P225" s="4"/>
    </row>
    <row r="226" spans="16:16" x14ac:dyDescent="0.3">
      <c r="P226" s="4"/>
    </row>
    <row r="227" spans="16:16" x14ac:dyDescent="0.3">
      <c r="P227" s="4"/>
    </row>
    <row r="228" spans="16:16" x14ac:dyDescent="0.3">
      <c r="P228" s="4"/>
    </row>
    <row r="229" spans="16:16" x14ac:dyDescent="0.3">
      <c r="P229" s="4"/>
    </row>
    <row r="230" spans="16:16" x14ac:dyDescent="0.3">
      <c r="P230" s="4"/>
    </row>
    <row r="231" spans="16:16" x14ac:dyDescent="0.3">
      <c r="P231" s="4"/>
    </row>
    <row r="232" spans="16:16" x14ac:dyDescent="0.3">
      <c r="P232" s="4"/>
    </row>
    <row r="233" spans="16:16" x14ac:dyDescent="0.3">
      <c r="P233" s="4"/>
    </row>
    <row r="234" spans="16:16" x14ac:dyDescent="0.3">
      <c r="P234" s="4"/>
    </row>
    <row r="235" spans="16:16" x14ac:dyDescent="0.3">
      <c r="P235" s="4"/>
    </row>
    <row r="236" spans="16:16" x14ac:dyDescent="0.3">
      <c r="P236" s="4"/>
    </row>
    <row r="237" spans="16:16" x14ac:dyDescent="0.3">
      <c r="P237" s="4"/>
    </row>
    <row r="238" spans="16:16" x14ac:dyDescent="0.3">
      <c r="P238" s="4"/>
    </row>
    <row r="239" spans="16:16" x14ac:dyDescent="0.3">
      <c r="P239" s="4"/>
    </row>
    <row r="240" spans="16:16" x14ac:dyDescent="0.3">
      <c r="P240" s="4"/>
    </row>
    <row r="241" spans="16:16" x14ac:dyDescent="0.3">
      <c r="P241" s="4"/>
    </row>
    <row r="242" spans="16:16" x14ac:dyDescent="0.3">
      <c r="P242" s="4"/>
    </row>
    <row r="243" spans="16:16" x14ac:dyDescent="0.3">
      <c r="P243" s="4"/>
    </row>
    <row r="244" spans="16:16" x14ac:dyDescent="0.3">
      <c r="P244" s="4"/>
    </row>
    <row r="245" spans="16:16" x14ac:dyDescent="0.3">
      <c r="P245" s="4"/>
    </row>
    <row r="246" spans="16:16" x14ac:dyDescent="0.3">
      <c r="P246" s="4"/>
    </row>
    <row r="247" spans="16:16" x14ac:dyDescent="0.3">
      <c r="P247" s="4"/>
    </row>
    <row r="248" spans="16:16" x14ac:dyDescent="0.3">
      <c r="P248" s="4"/>
    </row>
    <row r="249" spans="16:16" x14ac:dyDescent="0.3">
      <c r="P249" s="4"/>
    </row>
    <row r="250" spans="16:16" x14ac:dyDescent="0.3">
      <c r="P250" s="4"/>
    </row>
    <row r="251" spans="16:16" x14ac:dyDescent="0.3">
      <c r="P251" s="4"/>
    </row>
    <row r="252" spans="16:16" x14ac:dyDescent="0.3">
      <c r="P252" s="4"/>
    </row>
    <row r="253" spans="16:16" x14ac:dyDescent="0.3">
      <c r="P253" s="4"/>
    </row>
    <row r="254" spans="16:16" x14ac:dyDescent="0.3">
      <c r="P254" s="4"/>
    </row>
    <row r="255" spans="16:16" x14ac:dyDescent="0.3">
      <c r="P255" s="4"/>
    </row>
    <row r="256" spans="16:16" x14ac:dyDescent="0.3">
      <c r="P256" s="4"/>
    </row>
    <row r="257" spans="16:16" x14ac:dyDescent="0.3">
      <c r="P257" s="4"/>
    </row>
    <row r="258" spans="16:16" x14ac:dyDescent="0.3">
      <c r="P258" s="4"/>
    </row>
    <row r="259" spans="16:16" x14ac:dyDescent="0.3">
      <c r="P259" s="4"/>
    </row>
    <row r="260" spans="16:16" x14ac:dyDescent="0.3">
      <c r="P260" s="4"/>
    </row>
    <row r="261" spans="16:16" x14ac:dyDescent="0.3">
      <c r="P261" s="4"/>
    </row>
    <row r="262" spans="16:16" x14ac:dyDescent="0.3">
      <c r="P262" s="4"/>
    </row>
    <row r="263" spans="16:16" x14ac:dyDescent="0.3">
      <c r="P263" s="4"/>
    </row>
    <row r="264" spans="16:16" x14ac:dyDescent="0.3">
      <c r="P264" s="4"/>
    </row>
    <row r="265" spans="16:16" x14ac:dyDescent="0.3">
      <c r="P265" s="4"/>
    </row>
    <row r="266" spans="16:16" x14ac:dyDescent="0.3">
      <c r="P266" s="4"/>
    </row>
    <row r="267" spans="16:16" x14ac:dyDescent="0.3">
      <c r="P267" s="4"/>
    </row>
    <row r="268" spans="16:16" x14ac:dyDescent="0.3">
      <c r="P268" s="4"/>
    </row>
    <row r="269" spans="16:16" x14ac:dyDescent="0.3">
      <c r="P269" s="4"/>
    </row>
    <row r="270" spans="16:16" x14ac:dyDescent="0.3">
      <c r="P270" s="4"/>
    </row>
    <row r="271" spans="16:16" x14ac:dyDescent="0.3">
      <c r="P271" s="4"/>
    </row>
    <row r="272" spans="16:16" x14ac:dyDescent="0.3">
      <c r="P272" s="4"/>
    </row>
    <row r="273" spans="16:16" x14ac:dyDescent="0.3">
      <c r="P273" s="4"/>
    </row>
    <row r="274" spans="16:16" x14ac:dyDescent="0.3">
      <c r="P274" s="4"/>
    </row>
    <row r="275" spans="16:16" x14ac:dyDescent="0.3">
      <c r="P275" s="4"/>
    </row>
    <row r="276" spans="16:16" x14ac:dyDescent="0.3">
      <c r="P276" s="4"/>
    </row>
    <row r="277" spans="16:16" x14ac:dyDescent="0.3">
      <c r="P277" s="4"/>
    </row>
    <row r="278" spans="16:16" x14ac:dyDescent="0.3">
      <c r="P278" s="4"/>
    </row>
    <row r="279" spans="16:16" x14ac:dyDescent="0.3">
      <c r="P279" s="4"/>
    </row>
    <row r="280" spans="16:16" x14ac:dyDescent="0.3">
      <c r="P280" s="4"/>
    </row>
    <row r="281" spans="16:16" x14ac:dyDescent="0.3">
      <c r="P281" s="4"/>
    </row>
    <row r="282" spans="16:16" x14ac:dyDescent="0.3">
      <c r="P282" s="4"/>
    </row>
    <row r="283" spans="16:16" x14ac:dyDescent="0.3">
      <c r="P283" s="4"/>
    </row>
    <row r="284" spans="16:16" x14ac:dyDescent="0.3">
      <c r="P284" s="4"/>
    </row>
    <row r="285" spans="16:16" x14ac:dyDescent="0.3">
      <c r="P285" s="4"/>
    </row>
    <row r="286" spans="16:16" x14ac:dyDescent="0.3">
      <c r="P286" s="4"/>
    </row>
    <row r="287" spans="16:16" x14ac:dyDescent="0.3">
      <c r="P287" s="4"/>
    </row>
    <row r="288" spans="16:16" x14ac:dyDescent="0.3">
      <c r="P288" s="4"/>
    </row>
    <row r="289" spans="16:16" x14ac:dyDescent="0.3">
      <c r="P289" s="4"/>
    </row>
    <row r="290" spans="16:16" x14ac:dyDescent="0.3">
      <c r="P290" s="4"/>
    </row>
    <row r="291" spans="16:16" x14ac:dyDescent="0.3">
      <c r="P291" s="4"/>
    </row>
    <row r="292" spans="16:16" x14ac:dyDescent="0.3">
      <c r="P292" s="4"/>
    </row>
    <row r="293" spans="16:16" x14ac:dyDescent="0.3">
      <c r="P293" s="4"/>
    </row>
    <row r="294" spans="16:16" x14ac:dyDescent="0.3">
      <c r="P294" s="4"/>
    </row>
    <row r="295" spans="16:16" x14ac:dyDescent="0.3">
      <c r="P295" s="4"/>
    </row>
    <row r="296" spans="16:16" x14ac:dyDescent="0.3">
      <c r="P296" s="4"/>
    </row>
    <row r="297" spans="16:16" x14ac:dyDescent="0.3">
      <c r="P297" s="4"/>
    </row>
    <row r="298" spans="16:16" x14ac:dyDescent="0.3">
      <c r="P298" s="4"/>
    </row>
    <row r="299" spans="16:16" x14ac:dyDescent="0.3">
      <c r="P299" s="4"/>
    </row>
    <row r="300" spans="16:16" x14ac:dyDescent="0.3">
      <c r="P300" s="4"/>
    </row>
    <row r="301" spans="16:16" x14ac:dyDescent="0.3">
      <c r="P301" s="4"/>
    </row>
    <row r="302" spans="16:16" x14ac:dyDescent="0.3">
      <c r="P302" s="4"/>
    </row>
    <row r="303" spans="16:16" x14ac:dyDescent="0.3">
      <c r="P303" s="4"/>
    </row>
    <row r="304" spans="16:16" x14ac:dyDescent="0.3">
      <c r="P304" s="4"/>
    </row>
    <row r="305" spans="16:16" x14ac:dyDescent="0.3">
      <c r="P305" s="4"/>
    </row>
    <row r="306" spans="16:16" x14ac:dyDescent="0.3">
      <c r="P306" s="4"/>
    </row>
    <row r="307" spans="16:16" x14ac:dyDescent="0.3">
      <c r="P307" s="4"/>
    </row>
    <row r="308" spans="16:16" x14ac:dyDescent="0.3">
      <c r="P308" s="4"/>
    </row>
    <row r="309" spans="16:16" x14ac:dyDescent="0.3">
      <c r="P309" s="4"/>
    </row>
    <row r="310" spans="16:16" x14ac:dyDescent="0.3">
      <c r="P310" s="4"/>
    </row>
    <row r="311" spans="16:16" x14ac:dyDescent="0.3">
      <c r="P311" s="4"/>
    </row>
    <row r="312" spans="16:16" x14ac:dyDescent="0.3">
      <c r="P312" s="4"/>
    </row>
    <row r="313" spans="16:16" x14ac:dyDescent="0.3">
      <c r="P313" s="4"/>
    </row>
    <row r="314" spans="16:16" x14ac:dyDescent="0.3">
      <c r="P314" s="4"/>
    </row>
    <row r="315" spans="16:16" x14ac:dyDescent="0.3">
      <c r="P315" s="4"/>
    </row>
    <row r="316" spans="16:16" x14ac:dyDescent="0.3">
      <c r="P316" s="4"/>
    </row>
    <row r="317" spans="16:16" x14ac:dyDescent="0.3">
      <c r="P317" s="4"/>
    </row>
    <row r="318" spans="16:16" x14ac:dyDescent="0.3">
      <c r="P318" s="4"/>
    </row>
    <row r="319" spans="16:16" x14ac:dyDescent="0.3">
      <c r="P319" s="4"/>
    </row>
    <row r="320" spans="16:16" x14ac:dyDescent="0.3">
      <c r="P320" s="4"/>
    </row>
    <row r="321" spans="16:16" x14ac:dyDescent="0.3">
      <c r="P321" s="4"/>
    </row>
    <row r="322" spans="16:16" x14ac:dyDescent="0.3">
      <c r="P322" s="4"/>
    </row>
    <row r="323" spans="16:16" x14ac:dyDescent="0.3">
      <c r="P323" s="4"/>
    </row>
    <row r="324" spans="16:16" x14ac:dyDescent="0.3">
      <c r="P324" s="4"/>
    </row>
    <row r="325" spans="16:16" x14ac:dyDescent="0.3">
      <c r="P325" s="4"/>
    </row>
    <row r="326" spans="16:16" x14ac:dyDescent="0.3">
      <c r="P326" s="4"/>
    </row>
    <row r="327" spans="16:16" x14ac:dyDescent="0.3">
      <c r="P327" s="4"/>
    </row>
    <row r="328" spans="16:16" x14ac:dyDescent="0.3">
      <c r="P328" s="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A2078-8F0B-4216-A2CC-2FCD85449319}">
  <dimension ref="B3:D28"/>
  <sheetViews>
    <sheetView topLeftCell="A4" workbookViewId="0">
      <selection activeCell="K10" sqref="K10"/>
    </sheetView>
  </sheetViews>
  <sheetFormatPr defaultRowHeight="14.4" x14ac:dyDescent="0.3"/>
  <cols>
    <col min="3" max="3" width="20.21875" bestFit="1" customWidth="1"/>
    <col min="4" max="6" width="10.33203125" bestFit="1" customWidth="1"/>
    <col min="7" max="7" width="7" bestFit="1" customWidth="1"/>
    <col min="8" max="8" width="8" bestFit="1" customWidth="1"/>
    <col min="9" max="15" width="7" bestFit="1" customWidth="1"/>
    <col min="16" max="16" width="5" bestFit="1" customWidth="1"/>
    <col min="17" max="17" width="7" bestFit="1" customWidth="1"/>
    <col min="18" max="18" width="8" bestFit="1" customWidth="1"/>
    <col min="19" max="19" width="7" bestFit="1" customWidth="1"/>
    <col min="20" max="22" width="8" bestFit="1" customWidth="1"/>
    <col min="23" max="23" width="4" bestFit="1" customWidth="1"/>
    <col min="24" max="25" width="7" bestFit="1" customWidth="1"/>
    <col min="26" max="26" width="4" bestFit="1" customWidth="1"/>
    <col min="27" max="28" width="7" bestFit="1" customWidth="1"/>
    <col min="29" max="29" width="6" bestFit="1" customWidth="1"/>
    <col min="30" max="30" width="8" bestFit="1" customWidth="1"/>
    <col min="31" max="31" width="5" bestFit="1" customWidth="1"/>
    <col min="32" max="32" width="8" bestFit="1" customWidth="1"/>
    <col min="33" max="36" width="7" bestFit="1" customWidth="1"/>
    <col min="37" max="41" width="8" bestFit="1" customWidth="1"/>
    <col min="42" max="42" width="7" bestFit="1" customWidth="1"/>
    <col min="43" max="43" width="8" bestFit="1" customWidth="1"/>
    <col min="44" max="44" width="7" bestFit="1" customWidth="1"/>
    <col min="45" max="47" width="8" bestFit="1" customWidth="1"/>
    <col min="48" max="48" width="6" bestFit="1" customWidth="1"/>
    <col min="49" max="49" width="7" bestFit="1" customWidth="1"/>
    <col min="50" max="54" width="8" bestFit="1" customWidth="1"/>
    <col min="55" max="55" width="6" bestFit="1" customWidth="1"/>
    <col min="56" max="57" width="8" bestFit="1" customWidth="1"/>
    <col min="58" max="60" width="7" bestFit="1" customWidth="1"/>
    <col min="61" max="61" width="8" bestFit="1" customWidth="1"/>
    <col min="62" max="62" width="6" bestFit="1" customWidth="1"/>
    <col min="63" max="63" width="8" bestFit="1" customWidth="1"/>
    <col min="64" max="65" width="7" bestFit="1" customWidth="1"/>
    <col min="66" max="70" width="8" bestFit="1" customWidth="1"/>
    <col min="71" max="72" width="7" bestFit="1" customWidth="1"/>
    <col min="73" max="75" width="8" bestFit="1" customWidth="1"/>
    <col min="76" max="78" width="7" bestFit="1" customWidth="1"/>
    <col min="79" max="81" width="8" bestFit="1" customWidth="1"/>
    <col min="82" max="82" width="7" bestFit="1" customWidth="1"/>
    <col min="83" max="83" width="8" bestFit="1" customWidth="1"/>
    <col min="84" max="86" width="7" bestFit="1" customWidth="1"/>
    <col min="87" max="87" width="8" bestFit="1" customWidth="1"/>
    <col min="88" max="90" width="7" bestFit="1" customWidth="1"/>
    <col min="91" max="94" width="8" bestFit="1" customWidth="1"/>
    <col min="95" max="96" width="6" bestFit="1" customWidth="1"/>
    <col min="97" max="98" width="8" bestFit="1" customWidth="1"/>
    <col min="99" max="99" width="6" bestFit="1" customWidth="1"/>
    <col min="100" max="100" width="7" bestFit="1" customWidth="1"/>
    <col min="101" max="101" width="8" bestFit="1" customWidth="1"/>
    <col min="102" max="103" width="7" bestFit="1" customWidth="1"/>
    <col min="104" max="104" width="6" bestFit="1" customWidth="1"/>
    <col min="105" max="105" width="7" bestFit="1" customWidth="1"/>
    <col min="106" max="107" width="8" bestFit="1" customWidth="1"/>
    <col min="108" max="108" width="7" bestFit="1" customWidth="1"/>
    <col min="109" max="109" width="8" bestFit="1" customWidth="1"/>
    <col min="110" max="115" width="7" bestFit="1" customWidth="1"/>
    <col min="116" max="116" width="5" bestFit="1" customWidth="1"/>
    <col min="117" max="118" width="7" bestFit="1" customWidth="1"/>
    <col min="119" max="119" width="5" bestFit="1" customWidth="1"/>
    <col min="120" max="120" width="8" bestFit="1" customWidth="1"/>
    <col min="121" max="121" width="6" bestFit="1" customWidth="1"/>
    <col min="122" max="122" width="8" bestFit="1" customWidth="1"/>
    <col min="123" max="123" width="7" bestFit="1" customWidth="1"/>
    <col min="124" max="124" width="8" bestFit="1" customWidth="1"/>
    <col min="125" max="125" width="7" bestFit="1" customWidth="1"/>
    <col min="126" max="126" width="6" bestFit="1" customWidth="1"/>
    <col min="127" max="127" width="8" bestFit="1" customWidth="1"/>
    <col min="128" max="128" width="6" bestFit="1" customWidth="1"/>
    <col min="129" max="129" width="7" bestFit="1" customWidth="1"/>
    <col min="130" max="132" width="8" bestFit="1" customWidth="1"/>
    <col min="133" max="133" width="7" bestFit="1" customWidth="1"/>
    <col min="134" max="134" width="8" bestFit="1" customWidth="1"/>
    <col min="135" max="135" width="6" bestFit="1" customWidth="1"/>
    <col min="136" max="137" width="8" bestFit="1" customWidth="1"/>
    <col min="138" max="138" width="7" bestFit="1" customWidth="1"/>
    <col min="139" max="140" width="8" bestFit="1" customWidth="1"/>
    <col min="141" max="141" width="6" bestFit="1" customWidth="1"/>
    <col min="142" max="144" width="8" bestFit="1" customWidth="1"/>
    <col min="145" max="146" width="7" bestFit="1" customWidth="1"/>
    <col min="147" max="148" width="8" bestFit="1" customWidth="1"/>
    <col min="149" max="149" width="6" bestFit="1" customWidth="1"/>
    <col min="150" max="150" width="7" bestFit="1" customWidth="1"/>
    <col min="151" max="151" width="8" bestFit="1" customWidth="1"/>
    <col min="152" max="152" width="7" bestFit="1" customWidth="1"/>
    <col min="153" max="153" width="6" bestFit="1" customWidth="1"/>
    <col min="154" max="154" width="8" bestFit="1" customWidth="1"/>
    <col min="155" max="155" width="7" bestFit="1" customWidth="1"/>
    <col min="156" max="156" width="6" bestFit="1" customWidth="1"/>
    <col min="157" max="157" width="8" bestFit="1" customWidth="1"/>
    <col min="158" max="158" width="7" bestFit="1" customWidth="1"/>
    <col min="159" max="159" width="8" bestFit="1" customWidth="1"/>
    <col min="160" max="160" width="7" bestFit="1" customWidth="1"/>
    <col min="161" max="162" width="8" bestFit="1" customWidth="1"/>
    <col min="163" max="163" width="7" bestFit="1" customWidth="1"/>
    <col min="164" max="164" width="8" bestFit="1" customWidth="1"/>
    <col min="165" max="166" width="6" bestFit="1" customWidth="1"/>
    <col min="167" max="168" width="8" bestFit="1" customWidth="1"/>
    <col min="169" max="169" width="7" bestFit="1" customWidth="1"/>
    <col min="170" max="170" width="8" bestFit="1" customWidth="1"/>
    <col min="171" max="171" width="7" bestFit="1" customWidth="1"/>
    <col min="172" max="172" width="5" bestFit="1" customWidth="1"/>
    <col min="173" max="173" width="7" bestFit="1" customWidth="1"/>
    <col min="174" max="174" width="8" bestFit="1" customWidth="1"/>
    <col min="175" max="175" width="6" bestFit="1" customWidth="1"/>
    <col min="176" max="176" width="7" bestFit="1" customWidth="1"/>
    <col min="177" max="177" width="6" bestFit="1" customWidth="1"/>
    <col min="178" max="178" width="7" bestFit="1" customWidth="1"/>
    <col min="179" max="179" width="8" bestFit="1" customWidth="1"/>
    <col min="180" max="180" width="7" bestFit="1" customWidth="1"/>
    <col min="181" max="181" width="8" bestFit="1" customWidth="1"/>
    <col min="182" max="182" width="6" bestFit="1" customWidth="1"/>
    <col min="183" max="183" width="5" bestFit="1" customWidth="1"/>
    <col min="184" max="184" width="8" bestFit="1" customWidth="1"/>
    <col min="185" max="185" width="6" bestFit="1" customWidth="1"/>
    <col min="186" max="187" width="8" bestFit="1" customWidth="1"/>
    <col min="188" max="188" width="7" bestFit="1" customWidth="1"/>
    <col min="189" max="190" width="8" bestFit="1" customWidth="1"/>
    <col min="191" max="192" width="7" bestFit="1" customWidth="1"/>
    <col min="193" max="193" width="6" bestFit="1" customWidth="1"/>
    <col min="194" max="194" width="8" bestFit="1" customWidth="1"/>
    <col min="195" max="196" width="6" bestFit="1" customWidth="1"/>
    <col min="197" max="199" width="8" bestFit="1" customWidth="1"/>
    <col min="200" max="200" width="7" bestFit="1" customWidth="1"/>
    <col min="201" max="201" width="8" bestFit="1" customWidth="1"/>
    <col min="202" max="204" width="6" bestFit="1" customWidth="1"/>
    <col min="205" max="206" width="7" bestFit="1" customWidth="1"/>
    <col min="207" max="207" width="5" bestFit="1" customWidth="1"/>
    <col min="208" max="208" width="7" bestFit="1" customWidth="1"/>
    <col min="209" max="209" width="8" bestFit="1" customWidth="1"/>
    <col min="210" max="210" width="7" bestFit="1" customWidth="1"/>
    <col min="211" max="213" width="8" bestFit="1" customWidth="1"/>
    <col min="214" max="214" width="6" bestFit="1" customWidth="1"/>
    <col min="215" max="215" width="8" bestFit="1" customWidth="1"/>
    <col min="216" max="217" width="5" bestFit="1" customWidth="1"/>
    <col min="218" max="219" width="8" bestFit="1" customWidth="1"/>
    <col min="220" max="221" width="7" bestFit="1" customWidth="1"/>
    <col min="222" max="222" width="8" bestFit="1" customWidth="1"/>
    <col min="223" max="224" width="7" bestFit="1" customWidth="1"/>
    <col min="225" max="227" width="8" bestFit="1" customWidth="1"/>
    <col min="228" max="228" width="5" bestFit="1" customWidth="1"/>
    <col min="229" max="229" width="8" bestFit="1" customWidth="1"/>
    <col min="230" max="230" width="7" bestFit="1" customWidth="1"/>
    <col min="231" max="231" width="6" bestFit="1" customWidth="1"/>
    <col min="232" max="232" width="5" bestFit="1" customWidth="1"/>
    <col min="233" max="233" width="7" bestFit="1" customWidth="1"/>
    <col min="234" max="237" width="8" bestFit="1" customWidth="1"/>
    <col min="238" max="238" width="7" bestFit="1" customWidth="1"/>
    <col min="239" max="239" width="6" bestFit="1" customWidth="1"/>
    <col min="240" max="240" width="5" bestFit="1" customWidth="1"/>
    <col min="241" max="241" width="7" bestFit="1" customWidth="1"/>
    <col min="242" max="242" width="8" bestFit="1" customWidth="1"/>
    <col min="243" max="245" width="7" bestFit="1" customWidth="1"/>
    <col min="246" max="246" width="8" bestFit="1" customWidth="1"/>
    <col min="247" max="250" width="7" bestFit="1" customWidth="1"/>
    <col min="251" max="253" width="8" bestFit="1" customWidth="1"/>
    <col min="254" max="254" width="7" bestFit="1" customWidth="1"/>
    <col min="255" max="255" width="6" bestFit="1" customWidth="1"/>
    <col min="256" max="256" width="7" bestFit="1" customWidth="1"/>
    <col min="257" max="257" width="8" bestFit="1" customWidth="1"/>
    <col min="258" max="259" width="7" bestFit="1" customWidth="1"/>
    <col min="260" max="260" width="8" bestFit="1" customWidth="1"/>
    <col min="261" max="261" width="6" bestFit="1" customWidth="1"/>
    <col min="262" max="262" width="8" bestFit="1" customWidth="1"/>
    <col min="263" max="263" width="7" bestFit="1" customWidth="1"/>
    <col min="264" max="264" width="8" bestFit="1" customWidth="1"/>
    <col min="265" max="266" width="7" bestFit="1" customWidth="1"/>
    <col min="267" max="267" width="6" bestFit="1" customWidth="1"/>
    <col min="268" max="268" width="8" bestFit="1" customWidth="1"/>
    <col min="269" max="269" width="6" bestFit="1" customWidth="1"/>
    <col min="270" max="270" width="8" bestFit="1" customWidth="1"/>
    <col min="271" max="271" width="7" bestFit="1" customWidth="1"/>
    <col min="272" max="272" width="10.77734375" bestFit="1" customWidth="1"/>
  </cols>
  <sheetData>
    <row r="3" spans="2:4" ht="61.2" x14ac:dyDescent="1.1000000000000001">
      <c r="B3" s="9" t="s">
        <v>93</v>
      </c>
    </row>
    <row r="6" spans="2:4" x14ac:dyDescent="0.3">
      <c r="C6" s="19" t="s">
        <v>72</v>
      </c>
      <c r="D6" t="s">
        <v>94</v>
      </c>
    </row>
    <row r="7" spans="2:4" x14ac:dyDescent="0.3">
      <c r="C7" s="20" t="s">
        <v>30</v>
      </c>
      <c r="D7" s="49">
        <v>-1901.3400000000001</v>
      </c>
    </row>
    <row r="8" spans="2:4" x14ac:dyDescent="0.3">
      <c r="C8" s="20" t="s">
        <v>19</v>
      </c>
      <c r="D8" s="49">
        <v>12542.16</v>
      </c>
    </row>
    <row r="9" spans="2:4" x14ac:dyDescent="0.3">
      <c r="C9" s="20" t="s">
        <v>22</v>
      </c>
      <c r="D9" s="49">
        <v>6711.15</v>
      </c>
    </row>
    <row r="10" spans="2:4" x14ac:dyDescent="0.3">
      <c r="C10" s="20" t="s">
        <v>4</v>
      </c>
      <c r="D10" s="49">
        <v>-45.240000000000009</v>
      </c>
    </row>
    <row r="11" spans="2:4" x14ac:dyDescent="0.3">
      <c r="C11" s="20" t="s">
        <v>26</v>
      </c>
      <c r="D11" s="49">
        <v>19679.8</v>
      </c>
    </row>
    <row r="12" spans="2:4" x14ac:dyDescent="0.3">
      <c r="C12" s="20" t="s">
        <v>28</v>
      </c>
      <c r="D12" s="49">
        <v>13222.439999999999</v>
      </c>
    </row>
    <row r="13" spans="2:4" x14ac:dyDescent="0.3">
      <c r="C13" s="20" t="s">
        <v>32</v>
      </c>
      <c r="D13" s="49">
        <v>11700.7</v>
      </c>
    </row>
    <row r="14" spans="2:4" x14ac:dyDescent="0.3">
      <c r="C14" s="20" t="s">
        <v>17</v>
      </c>
      <c r="D14" s="49">
        <v>20048.82</v>
      </c>
    </row>
    <row r="15" spans="2:4" x14ac:dyDescent="0.3">
      <c r="C15" s="20" t="s">
        <v>23</v>
      </c>
      <c r="D15" s="49">
        <v>15433.08</v>
      </c>
    </row>
    <row r="16" spans="2:4" x14ac:dyDescent="0.3">
      <c r="C16" s="20" t="s">
        <v>29</v>
      </c>
      <c r="D16" s="49">
        <v>4962.68</v>
      </c>
    </row>
    <row r="17" spans="3:4" x14ac:dyDescent="0.3">
      <c r="C17" s="20" t="s">
        <v>13</v>
      </c>
      <c r="D17" s="49">
        <v>-251.82</v>
      </c>
    </row>
    <row r="18" spans="3:4" x14ac:dyDescent="0.3">
      <c r="C18" s="20" t="s">
        <v>16</v>
      </c>
      <c r="D18" s="49">
        <v>216.68000000000029</v>
      </c>
    </row>
    <row r="19" spans="3:4" x14ac:dyDescent="0.3">
      <c r="C19" s="20" t="s">
        <v>27</v>
      </c>
      <c r="D19" s="49">
        <v>7444.01</v>
      </c>
    </row>
    <row r="20" spans="3:4" x14ac:dyDescent="0.3">
      <c r="C20" s="20" t="s">
        <v>33</v>
      </c>
      <c r="D20" s="49">
        <v>9655.6200000000008</v>
      </c>
    </row>
    <row r="21" spans="3:4" x14ac:dyDescent="0.3">
      <c r="C21" s="20" t="s">
        <v>31</v>
      </c>
      <c r="D21" s="49">
        <v>1839.48</v>
      </c>
    </row>
    <row r="22" spans="3:4" x14ac:dyDescent="0.3">
      <c r="C22" s="20" t="s">
        <v>21</v>
      </c>
      <c r="D22" s="49">
        <v>6589</v>
      </c>
    </row>
    <row r="23" spans="3:4" x14ac:dyDescent="0.3">
      <c r="C23" s="20" t="s">
        <v>25</v>
      </c>
      <c r="D23" s="49">
        <v>6258.3499999999995</v>
      </c>
    </row>
    <row r="24" spans="3:4" x14ac:dyDescent="0.3">
      <c r="C24" s="20" t="s">
        <v>14</v>
      </c>
      <c r="D24" s="49">
        <v>1644.5</v>
      </c>
    </row>
    <row r="25" spans="3:4" x14ac:dyDescent="0.3">
      <c r="C25" s="20" t="s">
        <v>24</v>
      </c>
      <c r="D25" s="49">
        <v>7922.67</v>
      </c>
    </row>
    <row r="26" spans="3:4" x14ac:dyDescent="0.3">
      <c r="C26" s="20" t="s">
        <v>20</v>
      </c>
      <c r="D26" s="49">
        <v>18379.060000000001</v>
      </c>
    </row>
    <row r="27" spans="3:4" x14ac:dyDescent="0.3">
      <c r="C27" s="20" t="s">
        <v>15</v>
      </c>
      <c r="D27" s="49">
        <v>9735.7999999999993</v>
      </c>
    </row>
    <row r="28" spans="3:4" x14ac:dyDescent="0.3">
      <c r="C28" s="20" t="s">
        <v>73</v>
      </c>
      <c r="D28" s="49">
        <v>171787.59999999998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2DE61-EB47-4187-A848-27C21B545CE3}">
  <dimension ref="B3:S21"/>
  <sheetViews>
    <sheetView showGridLines="0" topLeftCell="B1" workbookViewId="0">
      <selection activeCell="E14" sqref="E14"/>
    </sheetView>
  </sheetViews>
  <sheetFormatPr defaultRowHeight="14.4" x14ac:dyDescent="0.3"/>
  <cols>
    <col min="5" max="5" width="13.33203125" customWidth="1"/>
    <col min="6" max="6" width="10.109375" bestFit="1" customWidth="1"/>
    <col min="12" max="12" width="11.109375" bestFit="1" customWidth="1"/>
  </cols>
  <sheetData>
    <row r="3" spans="2:19" ht="61.2" x14ac:dyDescent="1.1000000000000001">
      <c r="B3" s="9" t="s">
        <v>95</v>
      </c>
    </row>
    <row r="5" spans="2:19" x14ac:dyDescent="0.3">
      <c r="S5" t="s">
        <v>84</v>
      </c>
    </row>
    <row r="6" spans="2:19" ht="18" x14ac:dyDescent="0.35">
      <c r="D6" s="56" t="s">
        <v>85</v>
      </c>
      <c r="E6" s="6"/>
      <c r="F6" s="46" t="s">
        <v>36</v>
      </c>
      <c r="S6" t="s">
        <v>34</v>
      </c>
    </row>
    <row r="7" spans="2:19" x14ac:dyDescent="0.3">
      <c r="I7" s="41"/>
      <c r="S7" t="s">
        <v>36</v>
      </c>
    </row>
    <row r="8" spans="2:19" x14ac:dyDescent="0.3">
      <c r="S8" t="s">
        <v>35</v>
      </c>
    </row>
    <row r="9" spans="2:19" ht="18" x14ac:dyDescent="0.35">
      <c r="D9" s="55" t="s">
        <v>86</v>
      </c>
      <c r="E9" s="54"/>
      <c r="F9" s="32"/>
      <c r="G9" s="32"/>
      <c r="J9" s="54" t="s">
        <v>92</v>
      </c>
      <c r="K9" s="54"/>
      <c r="L9" s="32"/>
      <c r="M9" s="32"/>
      <c r="N9" s="32"/>
      <c r="S9" t="s">
        <v>38</v>
      </c>
    </row>
    <row r="10" spans="2:19" x14ac:dyDescent="0.3">
      <c r="S10" t="s">
        <v>39</v>
      </c>
    </row>
    <row r="11" spans="2:19" x14ac:dyDescent="0.3">
      <c r="D11" s="6" t="s">
        <v>87</v>
      </c>
      <c r="E11" s="6"/>
      <c r="G11">
        <f>COUNTIFS(data1[Geography],F6)</f>
        <v>50</v>
      </c>
      <c r="J11" s="35"/>
      <c r="K11" s="35"/>
      <c r="L11" s="36" t="s">
        <v>1</v>
      </c>
      <c r="M11" s="35"/>
      <c r="N11" s="36" t="s">
        <v>47</v>
      </c>
      <c r="S11" t="s">
        <v>37</v>
      </c>
    </row>
    <row r="12" spans="2:19" x14ac:dyDescent="0.3">
      <c r="J12" t="str" cm="1">
        <f t="array" ref="J12:J21">_xlfn.UNIQUE(data1[Sales Person])</f>
        <v>Oby Sorrel</v>
      </c>
      <c r="L12" s="34">
        <f>SUMIFS(data1[Amount],data1[Sales Person],J12,data1[Geography],$F$6)</f>
        <v>13797</v>
      </c>
      <c r="N12">
        <f>SUMIFS(data1[Units],data1[Sales Person],J12,data1[Geography],$F$6)</f>
        <v>1053</v>
      </c>
      <c r="O12">
        <f>IF(L12&gt;12000,1,-1)</f>
        <v>1</v>
      </c>
    </row>
    <row r="13" spans="2:19" x14ac:dyDescent="0.3">
      <c r="J13" t="str">
        <v>Barr Faughny</v>
      </c>
      <c r="L13" s="34">
        <f>SUMIFS(data1[Amount],data1[Sales Person],J13,data1[Geography],$F$6)</f>
        <v>23709</v>
      </c>
      <c r="N13">
        <f>SUMIFS(data1[Units],data1[Sales Person],J13,data1[Geography],$F$6)</f>
        <v>909</v>
      </c>
      <c r="O13">
        <f t="shared" ref="O13:O21" si="0">IF(L13&gt;12000,1,-1)</f>
        <v>1</v>
      </c>
    </row>
    <row r="14" spans="2:19" x14ac:dyDescent="0.3">
      <c r="D14" s="35"/>
      <c r="E14" s="36" t="s">
        <v>90</v>
      </c>
      <c r="F14" s="36" t="s">
        <v>52</v>
      </c>
      <c r="G14" s="35"/>
      <c r="J14" t="str">
        <v>Brien Boise</v>
      </c>
      <c r="L14" s="34">
        <f>SUMIFS(data1[Amount],data1[Sales Person],J14,data1[Geography],$F$6)</f>
        <v>5019</v>
      </c>
      <c r="N14">
        <f>SUMIFS(data1[Units],data1[Sales Person],J14,data1[Geography],$F$6)</f>
        <v>150</v>
      </c>
      <c r="O14">
        <f t="shared" si="0"/>
        <v>-1</v>
      </c>
    </row>
    <row r="15" spans="2:19" x14ac:dyDescent="0.3">
      <c r="D15" s="6" t="s">
        <v>91</v>
      </c>
      <c r="E15" s="39">
        <f>SUMIFS(data1[Amount],data1[Geography],F$6)</f>
        <v>237944</v>
      </c>
      <c r="F15" s="40">
        <f>AVERAGEIFS(data1[Amount],data1[Geography],F$6)</f>
        <v>4758.88</v>
      </c>
      <c r="J15" t="str">
        <v>Gunar Cockshoot</v>
      </c>
      <c r="L15" s="34">
        <f>SUMIFS(data1[Amount],data1[Sales Person],J15,data1[Geography],$F$6)</f>
        <v>18564</v>
      </c>
      <c r="N15">
        <f>SUMIFS(data1[Units],data1[Sales Person],J15,data1[Geography],$F$6)</f>
        <v>420</v>
      </c>
      <c r="O15">
        <f t="shared" si="0"/>
        <v>1</v>
      </c>
    </row>
    <row r="16" spans="2:19" x14ac:dyDescent="0.3">
      <c r="D16" s="6" t="s">
        <v>89</v>
      </c>
      <c r="E16" s="38">
        <f>SUMIFS(data1[Units], data1[Geography], F$6)</f>
        <v>7302</v>
      </c>
      <c r="F16" s="37">
        <f>AVERAGEIFS(data1[Units],data1[Geography],F$6)</f>
        <v>146.04</v>
      </c>
      <c r="J16" t="str">
        <v>Husein Augar</v>
      </c>
      <c r="L16" s="34">
        <f>SUMIFS(data1[Amount],data1[Sales Person],J16,data1[Geography],$F$6)</f>
        <v>25669</v>
      </c>
      <c r="N16">
        <f>SUMIFS(data1[Units],data1[Sales Person],J16,data1[Geography],$F$6)</f>
        <v>564</v>
      </c>
      <c r="O16">
        <f t="shared" si="0"/>
        <v>1</v>
      </c>
    </row>
    <row r="17" spans="5:15" x14ac:dyDescent="0.3">
      <c r="E17" s="33"/>
      <c r="F17" s="34"/>
      <c r="J17" t="str">
        <v>Curtice Advani</v>
      </c>
      <c r="L17" s="34">
        <f>SUMIFS(data1[Amount],data1[Sales Person],J17,data1[Geography],$F$6)</f>
        <v>27377</v>
      </c>
      <c r="N17">
        <f>SUMIFS(data1[Units],data1[Sales Person],J17,data1[Geography],$F$6)</f>
        <v>513</v>
      </c>
      <c r="O17">
        <f t="shared" si="0"/>
        <v>1</v>
      </c>
    </row>
    <row r="18" spans="5:15" x14ac:dyDescent="0.3">
      <c r="E18" s="33"/>
      <c r="F18" s="34"/>
      <c r="J18" t="str">
        <v>Ram Mahesh</v>
      </c>
      <c r="L18" s="34">
        <f>SUMIFS(data1[Amount],data1[Sales Person],J18,data1[Geography],$F$6)</f>
        <v>23016</v>
      </c>
      <c r="N18">
        <f>SUMIFS(data1[Units],data1[Sales Person],J18,data1[Geography],$F$6)</f>
        <v>663</v>
      </c>
      <c r="O18">
        <f t="shared" si="0"/>
        <v>1</v>
      </c>
    </row>
    <row r="19" spans="5:15" x14ac:dyDescent="0.3">
      <c r="J19" t="str">
        <v>Ches Bonnell</v>
      </c>
      <c r="L19" s="34">
        <f>SUMIFS(data1[Amount],data1[Sales Person],J19,data1[Geography],$F$6)</f>
        <v>21931</v>
      </c>
      <c r="N19">
        <f>SUMIFS(data1[Units],data1[Sales Person],J19,data1[Geography],$F$6)</f>
        <v>975</v>
      </c>
      <c r="O19">
        <f t="shared" si="0"/>
        <v>1</v>
      </c>
    </row>
    <row r="20" spans="5:15" x14ac:dyDescent="0.3">
      <c r="J20" t="str">
        <v>Gigi Bohling</v>
      </c>
      <c r="L20" s="34">
        <f>SUMIFS(data1[Amount],data1[Sales Person],J20,data1[Geography],$F$6)</f>
        <v>39620</v>
      </c>
      <c r="N20">
        <f>SUMIFS(data1[Units],data1[Sales Person],J20,data1[Geography],$F$6)</f>
        <v>573</v>
      </c>
      <c r="O20">
        <f t="shared" si="0"/>
        <v>1</v>
      </c>
    </row>
    <row r="21" spans="5:15" x14ac:dyDescent="0.3">
      <c r="J21" t="str">
        <v>Carla Molina</v>
      </c>
      <c r="L21" s="34">
        <f>SUMIFS(data1[Amount],data1[Sales Person],J21,data1[Geography],$F$6)</f>
        <v>39242</v>
      </c>
      <c r="N21">
        <f>SUMIFS(data1[Units],data1[Sales Person],J21,data1[Geography],$F$6)</f>
        <v>1482</v>
      </c>
      <c r="O21">
        <f t="shared" si="0"/>
        <v>1</v>
      </c>
    </row>
  </sheetData>
  <conditionalFormatting sqref="L12:L21">
    <cfRule type="dataBar" priority="1">
      <dataBar>
        <cfvo type="min"/>
        <cfvo type="max"/>
        <color rgb="FF008AEF"/>
      </dataBar>
      <extLst>
        <ext xmlns:x14="http://schemas.microsoft.com/office/spreadsheetml/2009/9/main" uri="{B025F937-C7B1-47D3-B67F-A62EFF666E3E}">
          <x14:id>{3C4ECDC3-DD1D-445B-82A9-D557ACDAF388}</x14:id>
        </ext>
      </extLst>
    </cfRule>
  </conditionalFormatting>
  <dataValidations count="1">
    <dataValidation type="list" allowBlank="1" showInputMessage="1" showErrorMessage="1" sqref="F6" xr:uid="{A21ED5FB-43DC-402E-B8BD-ADFEFB5430D0}">
      <formula1>$S$6:$S$11</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3C4ECDC3-DD1D-445B-82A9-D557ACDAF388}">
            <x14:dataBar minLength="0" maxLength="100" border="1" negativeBarBorderColorSameAsPositive="0">
              <x14:cfvo type="autoMin"/>
              <x14:cfvo type="autoMax"/>
              <x14:borderColor rgb="FF008AEF"/>
              <x14:negativeFillColor rgb="FFFF0000"/>
              <x14:negativeBorderColor rgb="FFFF0000"/>
              <x14:axisColor rgb="FF000000"/>
            </x14:dataBar>
          </x14:cfRule>
          <xm:sqref>L12:L21</xm:sqref>
        </x14:conditionalFormatting>
        <x14:conditionalFormatting xmlns:xm="http://schemas.microsoft.com/office/excel/2006/main">
          <x14:cfRule type="iconSet" priority="4" id="{0E3B0FB5-EEEC-4112-88C6-35E4AA964B30}">
            <x14:iconSet iconSet="3Symbols" showValue="0" custom="1">
              <x14:cfvo type="percent">
                <xm:f>0</xm:f>
              </x14:cfvo>
              <x14:cfvo type="num">
                <xm:f>0</xm:f>
              </x14:cfvo>
              <x14:cfvo type="num">
                <xm:f>1</xm:f>
              </x14:cfvo>
              <x14:cfIcon iconSet="3Symbols" iconId="0"/>
              <x14:cfIcon iconSet="NoIcons" iconId="0"/>
              <x14:cfIcon iconSet="3Symbols" iconId="2"/>
            </x14:iconSet>
          </x14:cfRule>
          <xm:sqref>O12:O21</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C220B-6474-43E5-97A9-A624D3096DD1}">
  <dimension ref="B2:G27"/>
  <sheetViews>
    <sheetView tabSelected="1" workbookViewId="0">
      <selection activeCell="M17" sqref="M17"/>
    </sheetView>
  </sheetViews>
  <sheetFormatPr defaultRowHeight="14.4" x14ac:dyDescent="0.3"/>
  <cols>
    <col min="3" max="3" width="20.21875" bestFit="1" customWidth="1"/>
    <col min="4" max="4" width="14.44140625" bestFit="1" customWidth="1"/>
    <col min="5" max="5" width="11.77734375" bestFit="1" customWidth="1"/>
    <col min="6" max="6" width="10.33203125" bestFit="1" customWidth="1"/>
    <col min="7" max="7" width="12.5546875" bestFit="1" customWidth="1"/>
  </cols>
  <sheetData>
    <row r="2" spans="2:7" ht="61.2" x14ac:dyDescent="1.1000000000000001">
      <c r="B2" s="9" t="s">
        <v>96</v>
      </c>
    </row>
    <row r="4" spans="2:7" x14ac:dyDescent="0.3">
      <c r="C4" s="19" t="s">
        <v>72</v>
      </c>
      <c r="D4" t="s">
        <v>74</v>
      </c>
      <c r="E4" t="s">
        <v>75</v>
      </c>
      <c r="F4" t="s">
        <v>94</v>
      </c>
      <c r="G4" t="s">
        <v>100</v>
      </c>
    </row>
    <row r="5" spans="2:7" x14ac:dyDescent="0.3">
      <c r="C5" s="20" t="s">
        <v>4</v>
      </c>
      <c r="D5" s="42">
        <v>33551</v>
      </c>
      <c r="E5" s="42">
        <v>1566</v>
      </c>
      <c r="F5" s="49">
        <v>14946.919999999998</v>
      </c>
      <c r="G5" s="57">
        <v>0.44549849482876808</v>
      </c>
    </row>
    <row r="6" spans="2:7" x14ac:dyDescent="0.3">
      <c r="C6" s="20" t="s">
        <v>24</v>
      </c>
      <c r="D6" s="42">
        <v>35378</v>
      </c>
      <c r="E6" s="42">
        <v>1044</v>
      </c>
      <c r="F6" s="49">
        <v>30189.32</v>
      </c>
      <c r="G6" s="57">
        <v>0.85333597150771667</v>
      </c>
    </row>
    <row r="7" spans="2:7" x14ac:dyDescent="0.3">
      <c r="C7" s="20" t="s">
        <v>21</v>
      </c>
      <c r="D7" s="42">
        <v>37772</v>
      </c>
      <c r="E7" s="42">
        <v>1308</v>
      </c>
      <c r="F7" s="49">
        <v>26000</v>
      </c>
      <c r="G7" s="57">
        <v>0.68834056973419466</v>
      </c>
    </row>
    <row r="8" spans="2:7" x14ac:dyDescent="0.3">
      <c r="C8" s="20" t="s">
        <v>31</v>
      </c>
      <c r="D8" s="42">
        <v>39263</v>
      </c>
      <c r="E8" s="42">
        <v>1683</v>
      </c>
      <c r="F8" s="49">
        <v>29518.43</v>
      </c>
      <c r="G8" s="57">
        <v>0.75181290273285284</v>
      </c>
    </row>
    <row r="9" spans="2:7" x14ac:dyDescent="0.3">
      <c r="C9" s="20" t="s">
        <v>14</v>
      </c>
      <c r="D9" s="42">
        <v>43183</v>
      </c>
      <c r="E9" s="42">
        <v>2022</v>
      </c>
      <c r="F9" s="49">
        <v>19525.599999999999</v>
      </c>
      <c r="G9" s="57">
        <v>0.45215941458444292</v>
      </c>
    </row>
    <row r="10" spans="2:7" x14ac:dyDescent="0.3">
      <c r="C10" s="20" t="s">
        <v>19</v>
      </c>
      <c r="D10" s="42">
        <v>44744</v>
      </c>
      <c r="E10" s="42">
        <v>1956</v>
      </c>
      <c r="F10" s="49">
        <v>29800.16</v>
      </c>
      <c r="G10" s="57">
        <v>0.6660146611836224</v>
      </c>
    </row>
    <row r="11" spans="2:7" x14ac:dyDescent="0.3">
      <c r="C11" s="20" t="s">
        <v>13</v>
      </c>
      <c r="D11" s="42">
        <v>47271</v>
      </c>
      <c r="E11" s="42">
        <v>1881</v>
      </c>
      <c r="F11" s="49">
        <v>29721.269999999997</v>
      </c>
      <c r="G11" s="57">
        <v>0.62874214634765491</v>
      </c>
    </row>
    <row r="12" spans="2:7" x14ac:dyDescent="0.3">
      <c r="C12" s="20" t="s">
        <v>18</v>
      </c>
      <c r="D12" s="42">
        <v>52150</v>
      </c>
      <c r="E12" s="42">
        <v>1752</v>
      </c>
      <c r="F12" s="49">
        <v>40814.559999999998</v>
      </c>
      <c r="G12" s="57">
        <v>0.78263777564717163</v>
      </c>
    </row>
    <row r="13" spans="2:7" x14ac:dyDescent="0.3">
      <c r="C13" s="20" t="s">
        <v>20</v>
      </c>
      <c r="D13" s="42">
        <v>54712</v>
      </c>
      <c r="E13" s="42">
        <v>2196</v>
      </c>
      <c r="F13" s="49">
        <v>31390.480000000003</v>
      </c>
      <c r="G13" s="57">
        <v>0.57374031291124439</v>
      </c>
    </row>
    <row r="14" spans="2:7" x14ac:dyDescent="0.3">
      <c r="C14" s="20" t="s">
        <v>23</v>
      </c>
      <c r="D14" s="42">
        <v>56644</v>
      </c>
      <c r="E14" s="42">
        <v>1812</v>
      </c>
      <c r="F14" s="49">
        <v>44884.119999999995</v>
      </c>
      <c r="G14" s="57">
        <v>0.79238966174705172</v>
      </c>
    </row>
    <row r="15" spans="2:7" x14ac:dyDescent="0.3">
      <c r="C15" s="20" t="s">
        <v>25</v>
      </c>
      <c r="D15" s="42">
        <v>57372</v>
      </c>
      <c r="E15" s="42">
        <v>2106</v>
      </c>
      <c r="F15" s="49">
        <v>29678.1</v>
      </c>
      <c r="G15" s="57">
        <v>0.51729240744614091</v>
      </c>
    </row>
    <row r="16" spans="2:7" x14ac:dyDescent="0.3">
      <c r="C16" s="20" t="s">
        <v>29</v>
      </c>
      <c r="D16" s="42">
        <v>58009</v>
      </c>
      <c r="E16" s="42">
        <v>2976</v>
      </c>
      <c r="F16" s="49">
        <v>36700.839999999997</v>
      </c>
      <c r="G16" s="57">
        <v>0.63267492975227979</v>
      </c>
    </row>
    <row r="17" spans="3:7" x14ac:dyDescent="0.3">
      <c r="C17" s="20" t="s">
        <v>16</v>
      </c>
      <c r="D17" s="42">
        <v>62111</v>
      </c>
      <c r="E17" s="42">
        <v>2154</v>
      </c>
      <c r="F17" s="49">
        <v>43177.34</v>
      </c>
      <c r="G17" s="57">
        <v>0.69516414161742679</v>
      </c>
    </row>
    <row r="18" spans="3:7" x14ac:dyDescent="0.3">
      <c r="C18" s="20" t="s">
        <v>17</v>
      </c>
      <c r="D18" s="42">
        <v>63721</v>
      </c>
      <c r="E18" s="42">
        <v>2331</v>
      </c>
      <c r="F18" s="49">
        <v>56471.590000000004</v>
      </c>
      <c r="G18" s="57">
        <v>0.88623201142480512</v>
      </c>
    </row>
    <row r="19" spans="3:7" x14ac:dyDescent="0.3">
      <c r="C19" s="20" t="s">
        <v>22</v>
      </c>
      <c r="D19" s="42">
        <v>66283</v>
      </c>
      <c r="E19" s="42">
        <v>2052</v>
      </c>
      <c r="F19" s="49">
        <v>46234.96</v>
      </c>
      <c r="G19" s="57">
        <v>0.69753873542235567</v>
      </c>
    </row>
    <row r="20" spans="3:7" x14ac:dyDescent="0.3">
      <c r="C20" s="20" t="s">
        <v>30</v>
      </c>
      <c r="D20" s="42">
        <v>66500</v>
      </c>
      <c r="E20" s="42">
        <v>2802</v>
      </c>
      <c r="F20" s="49">
        <v>25899.019999999997</v>
      </c>
      <c r="G20" s="57">
        <v>0.38945894736842102</v>
      </c>
    </row>
    <row r="21" spans="3:7" x14ac:dyDescent="0.3">
      <c r="C21" s="20" t="s">
        <v>15</v>
      </c>
      <c r="D21" s="42">
        <v>68971</v>
      </c>
      <c r="E21" s="42">
        <v>1533</v>
      </c>
      <c r="F21" s="49">
        <v>50988.909999999996</v>
      </c>
      <c r="G21" s="57">
        <v>0.73928042220643453</v>
      </c>
    </row>
    <row r="22" spans="3:7" x14ac:dyDescent="0.3">
      <c r="C22" s="20" t="s">
        <v>33</v>
      </c>
      <c r="D22" s="42">
        <v>69160</v>
      </c>
      <c r="E22" s="42">
        <v>1854</v>
      </c>
      <c r="F22" s="49">
        <v>46226.020000000011</v>
      </c>
      <c r="G22" s="57">
        <v>0.66839242336610771</v>
      </c>
    </row>
    <row r="23" spans="3:7" x14ac:dyDescent="0.3">
      <c r="C23" s="20" t="s">
        <v>27</v>
      </c>
      <c r="D23" s="42">
        <v>69461</v>
      </c>
      <c r="E23" s="42">
        <v>2982</v>
      </c>
      <c r="F23" s="49">
        <v>19572.14</v>
      </c>
      <c r="G23" s="57">
        <v>0.28177164164063284</v>
      </c>
    </row>
    <row r="24" spans="3:7" x14ac:dyDescent="0.3">
      <c r="C24" s="20" t="s">
        <v>26</v>
      </c>
      <c r="D24" s="42">
        <v>70273</v>
      </c>
      <c r="E24" s="42">
        <v>2142</v>
      </c>
      <c r="F24" s="49">
        <v>58277.8</v>
      </c>
      <c r="G24" s="57">
        <v>0.82930570773981471</v>
      </c>
    </row>
    <row r="25" spans="3:7" x14ac:dyDescent="0.3">
      <c r="C25" s="20" t="s">
        <v>32</v>
      </c>
      <c r="D25" s="42">
        <v>71967</v>
      </c>
      <c r="E25" s="42">
        <v>2301</v>
      </c>
      <c r="F25" s="49">
        <v>52063.35</v>
      </c>
      <c r="G25" s="57">
        <v>0.72343365709283425</v>
      </c>
    </row>
    <row r="26" spans="3:7" x14ac:dyDescent="0.3">
      <c r="C26" s="20" t="s">
        <v>28</v>
      </c>
      <c r="D26" s="42">
        <v>72373</v>
      </c>
      <c r="E26" s="42">
        <v>3207</v>
      </c>
      <c r="F26" s="49">
        <v>39084.339999999989</v>
      </c>
      <c r="G26" s="57">
        <v>0.54004034653807342</v>
      </c>
    </row>
    <row r="27" spans="3:7" x14ac:dyDescent="0.3">
      <c r="C27" s="20" t="s">
        <v>73</v>
      </c>
      <c r="D27" s="42">
        <v>1240869</v>
      </c>
      <c r="E27" s="42">
        <v>45660</v>
      </c>
      <c r="F27" s="49">
        <v>801165.27000000014</v>
      </c>
      <c r="G27" s="57">
        <v>0.64564854952456718</v>
      </c>
    </row>
  </sheetData>
  <conditionalFormatting pivot="1" sqref="G5:G27">
    <cfRule type="colorScale" priority="1">
      <colorScale>
        <cfvo type="min"/>
        <cfvo type="max"/>
        <color rgb="FFFCFCFF"/>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vt:lpstr>
      <vt:lpstr>Quick_Statistic</vt:lpstr>
      <vt:lpstr>EDA</vt:lpstr>
      <vt:lpstr>with_formulas</vt:lpstr>
      <vt:lpstr>pivot</vt:lpstr>
      <vt:lpstr>top_5_Items</vt:lpstr>
      <vt:lpstr>Anomalies</vt:lpstr>
      <vt:lpstr>Best Sales person by country</vt:lpstr>
      <vt:lpstr>profit by products</vt:lpstr>
      <vt:lpstr>country_level_report</vt:lpstr>
      <vt:lpstr>open ended 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yashodha kapali</cp:lastModifiedBy>
  <dcterms:created xsi:type="dcterms:W3CDTF">2021-03-14T20:21:32Z</dcterms:created>
  <dcterms:modified xsi:type="dcterms:W3CDTF">2025-12-18T15:31:33Z</dcterms:modified>
</cp:coreProperties>
</file>